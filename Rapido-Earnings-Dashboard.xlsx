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Study\GitHub_Uploads\"/>
    </mc:Choice>
  </mc:AlternateContent>
  <xr:revisionPtr revIDLastSave="0" documentId="13_ncr:1_{EEAE3288-EB29-42D6-A4E6-702E1E5814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3" r:id="rId1"/>
    <sheet name="Ride_Entries" sheetId="1" r:id="rId2"/>
    <sheet name="Daily_Summary" sheetId="2" r:id="rId3"/>
    <sheet name="Pivots" sheetId="11" r:id="rId4"/>
  </sheets>
  <definedNames>
    <definedName name="_xlcn.WorksheetConnection_Daily_SummaryA1A121" hidden="1">Daily_Summary!$A$1:$A$12</definedName>
    <definedName name="_xlcn.WorksheetConnection_Rapido_Earning_Dashboard.xlsxTable21" hidden="1">Table2[]</definedName>
    <definedName name="NativeTimeline_Date">#N/A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ily_Summary!$A$1:$A$12"/>
          <x15:modelTable id="Table2" name="Table2" connection="WorksheetConnection_Rapido_Earning_Dashboard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Total Hours" columnId="Total Hours">
                <x16:calculatedTimeColumn columnName="Total Hours (Hour)" columnId="Total Hours (Hour)" contentType="hou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E12" i="2"/>
  <c r="F12" i="2"/>
  <c r="N12" i="2" s="1"/>
  <c r="G12" i="2"/>
  <c r="H12" i="2"/>
  <c r="J12" i="2"/>
  <c r="K12" i="2"/>
  <c r="D11" i="2"/>
  <c r="E11" i="2"/>
  <c r="G11" i="2"/>
  <c r="H11" i="2"/>
  <c r="A100" i="1"/>
  <c r="F100" i="1"/>
  <c r="I100" i="1"/>
  <c r="A99" i="1"/>
  <c r="F99" i="1"/>
  <c r="I99" i="1"/>
  <c r="A98" i="1"/>
  <c r="F98" i="1"/>
  <c r="I98" i="1"/>
  <c r="A97" i="1"/>
  <c r="F97" i="1"/>
  <c r="I97" i="1"/>
  <c r="A96" i="1"/>
  <c r="F96" i="1"/>
  <c r="I96" i="1"/>
  <c r="A95" i="1"/>
  <c r="F95" i="1"/>
  <c r="I95" i="1"/>
  <c r="A94" i="1"/>
  <c r="F94" i="1"/>
  <c r="I94" i="1"/>
  <c r="A93" i="1"/>
  <c r="F93" i="1"/>
  <c r="I93" i="1"/>
  <c r="A92" i="1"/>
  <c r="F92" i="1"/>
  <c r="I92" i="1"/>
  <c r="A91" i="1"/>
  <c r="F91" i="1"/>
  <c r="I91" i="1"/>
  <c r="A90" i="1"/>
  <c r="F90" i="1"/>
  <c r="I90" i="1"/>
  <c r="A89" i="1"/>
  <c r="F89" i="1"/>
  <c r="I89" i="1"/>
  <c r="A88" i="1"/>
  <c r="F88" i="1"/>
  <c r="I88" i="1"/>
  <c r="A87" i="1"/>
  <c r="F87" i="1"/>
  <c r="I87" i="1"/>
  <c r="A86" i="1"/>
  <c r="F86" i="1"/>
  <c r="I86" i="1"/>
  <c r="A85" i="1"/>
  <c r="F85" i="1"/>
  <c r="I85" i="1"/>
  <c r="A84" i="1"/>
  <c r="F84" i="1"/>
  <c r="I84" i="1"/>
  <c r="A83" i="1"/>
  <c r="F83" i="1"/>
  <c r="I83" i="1"/>
  <c r="A82" i="1"/>
  <c r="F82" i="1"/>
  <c r="I82" i="1"/>
  <c r="A81" i="1"/>
  <c r="F81" i="1"/>
  <c r="I81" i="1"/>
  <c r="A80" i="1"/>
  <c r="F80" i="1"/>
  <c r="I80" i="1"/>
  <c r="A79" i="1"/>
  <c r="F79" i="1"/>
  <c r="I79" i="1"/>
  <c r="A78" i="1"/>
  <c r="F78" i="1"/>
  <c r="I78" i="1"/>
  <c r="A77" i="1"/>
  <c r="F77" i="1"/>
  <c r="I77" i="1"/>
  <c r="F76" i="1"/>
  <c r="A76" i="1"/>
  <c r="I76" i="1"/>
  <c r="A75" i="1"/>
  <c r="F75" i="1"/>
  <c r="I75" i="1"/>
  <c r="A74" i="1"/>
  <c r="F74" i="1"/>
  <c r="I74" i="1"/>
  <c r="A73" i="1"/>
  <c r="F73" i="1"/>
  <c r="I73" i="1"/>
  <c r="A72" i="1"/>
  <c r="F72" i="1"/>
  <c r="I72" i="1"/>
  <c r="A71" i="1"/>
  <c r="F71" i="1"/>
  <c r="I71" i="1"/>
  <c r="A70" i="1"/>
  <c r="F70" i="1"/>
  <c r="I70" i="1"/>
  <c r="D10" i="2"/>
  <c r="E10" i="2"/>
  <c r="G10" i="2"/>
  <c r="H10" i="2"/>
  <c r="A69" i="1"/>
  <c r="F69" i="1"/>
  <c r="I69" i="1"/>
  <c r="A68" i="1"/>
  <c r="F68" i="1"/>
  <c r="I68" i="1"/>
  <c r="A67" i="1"/>
  <c r="F67" i="1"/>
  <c r="I67" i="1"/>
  <c r="K9" i="2" s="1"/>
  <c r="F66" i="1"/>
  <c r="A66" i="1"/>
  <c r="I66" i="1"/>
  <c r="A65" i="1"/>
  <c r="F65" i="1"/>
  <c r="I65" i="1"/>
  <c r="A64" i="1"/>
  <c r="F64" i="1"/>
  <c r="I64" i="1"/>
  <c r="A63" i="1"/>
  <c r="F63" i="1"/>
  <c r="I63" i="1"/>
  <c r="A62" i="1"/>
  <c r="F62" i="1"/>
  <c r="I62" i="1"/>
  <c r="A61" i="1"/>
  <c r="F61" i="1"/>
  <c r="I61" i="1"/>
  <c r="A60" i="1"/>
  <c r="F60" i="1"/>
  <c r="I60" i="1"/>
  <c r="A59" i="1"/>
  <c r="F59" i="1"/>
  <c r="I59" i="1"/>
  <c r="A58" i="1"/>
  <c r="F58" i="1"/>
  <c r="I58" i="1"/>
  <c r="A57" i="1"/>
  <c r="F57" i="1"/>
  <c r="I57" i="1"/>
  <c r="A56" i="1"/>
  <c r="F56" i="1"/>
  <c r="I56" i="1"/>
  <c r="D9" i="2"/>
  <c r="E9" i="2"/>
  <c r="G9" i="2"/>
  <c r="H9" i="2"/>
  <c r="D8" i="2"/>
  <c r="E8" i="2"/>
  <c r="F8" i="2"/>
  <c r="N8" i="2" s="1"/>
  <c r="G8" i="2"/>
  <c r="H8" i="2"/>
  <c r="J8" i="2"/>
  <c r="K8" i="2"/>
  <c r="D7" i="2"/>
  <c r="E7" i="2"/>
  <c r="G7" i="2"/>
  <c r="H7" i="2"/>
  <c r="A55" i="1"/>
  <c r="F55" i="1"/>
  <c r="I55" i="1"/>
  <c r="A54" i="1"/>
  <c r="F54" i="1"/>
  <c r="I54" i="1"/>
  <c r="A53" i="1"/>
  <c r="F53" i="1"/>
  <c r="I53" i="1"/>
  <c r="A52" i="1"/>
  <c r="F52" i="1"/>
  <c r="I52" i="1"/>
  <c r="A51" i="1"/>
  <c r="F51" i="1"/>
  <c r="I51" i="1"/>
  <c r="A50" i="1"/>
  <c r="F50" i="1"/>
  <c r="I50" i="1"/>
  <c r="A49" i="1"/>
  <c r="F49" i="1"/>
  <c r="I49" i="1"/>
  <c r="A48" i="1"/>
  <c r="F48" i="1"/>
  <c r="I48" i="1"/>
  <c r="F47" i="1"/>
  <c r="A47" i="1"/>
  <c r="I47" i="1"/>
  <c r="A46" i="1"/>
  <c r="F46" i="1"/>
  <c r="I46" i="1"/>
  <c r="F45" i="1"/>
  <c r="A45" i="1"/>
  <c r="I45" i="1"/>
  <c r="I44" i="1"/>
  <c r="A44" i="1"/>
  <c r="F44" i="1"/>
  <c r="A43" i="1"/>
  <c r="F43" i="1"/>
  <c r="I43" i="1"/>
  <c r="K4" i="2"/>
  <c r="F39" i="1"/>
  <c r="A35" i="1"/>
  <c r="A36" i="1"/>
  <c r="A37" i="1"/>
  <c r="A38" i="1"/>
  <c r="A39" i="1"/>
  <c r="A40" i="1"/>
  <c r="A41" i="1"/>
  <c r="A42" i="1"/>
  <c r="F35" i="1"/>
  <c r="F36" i="1"/>
  <c r="F37" i="1"/>
  <c r="F38" i="1"/>
  <c r="F40" i="1"/>
  <c r="F41" i="1"/>
  <c r="F42" i="1"/>
  <c r="I35" i="1"/>
  <c r="I36" i="1"/>
  <c r="I37" i="1"/>
  <c r="I38" i="1"/>
  <c r="I39" i="1"/>
  <c r="I40" i="1"/>
  <c r="I41" i="1"/>
  <c r="I42" i="1"/>
  <c r="D6" i="2"/>
  <c r="E6" i="2"/>
  <c r="G6" i="2"/>
  <c r="H6" i="2"/>
  <c r="D5" i="2"/>
  <c r="E5" i="2"/>
  <c r="G5" i="2"/>
  <c r="H5" i="2"/>
  <c r="H4" i="2"/>
  <c r="G4" i="2"/>
  <c r="E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D4" i="2"/>
  <c r="A34" i="1"/>
  <c r="I34" i="1"/>
  <c r="A33" i="1"/>
  <c r="I33" i="1"/>
  <c r="K5" i="2" s="1"/>
  <c r="A32" i="1"/>
  <c r="I32" i="1"/>
  <c r="A31" i="1"/>
  <c r="I31" i="1"/>
  <c r="A30" i="1"/>
  <c r="I30" i="1"/>
  <c r="A29" i="1"/>
  <c r="I29" i="1"/>
  <c r="A28" i="1"/>
  <c r="I28" i="1"/>
  <c r="A27" i="1"/>
  <c r="I27" i="1"/>
  <c r="A26" i="1"/>
  <c r="I26" i="1"/>
  <c r="A25" i="1"/>
  <c r="I25" i="1"/>
  <c r="A24" i="1"/>
  <c r="I24" i="1"/>
  <c r="A23" i="1"/>
  <c r="I23" i="1"/>
  <c r="A22" i="1"/>
  <c r="I22" i="1"/>
  <c r="A21" i="1"/>
  <c r="I21" i="1"/>
  <c r="A20" i="1"/>
  <c r="I20" i="1"/>
  <c r="A19" i="1"/>
  <c r="I19" i="1"/>
  <c r="A18" i="1"/>
  <c r="I18" i="1"/>
  <c r="A17" i="1"/>
  <c r="I17" i="1"/>
  <c r="A16" i="1"/>
  <c r="I16" i="1"/>
  <c r="A15" i="1"/>
  <c r="I15" i="1"/>
  <c r="A14" i="1"/>
  <c r="I14" i="1"/>
  <c r="A13" i="1"/>
  <c r="I13" i="1"/>
  <c r="A12" i="1"/>
  <c r="I12" i="1"/>
  <c r="A11" i="1"/>
  <c r="I11" i="1"/>
  <c r="A10" i="1"/>
  <c r="I10" i="1"/>
  <c r="A9" i="1"/>
  <c r="I9" i="1"/>
  <c r="A8" i="1"/>
  <c r="I8" i="1"/>
  <c r="A7" i="1"/>
  <c r="I7" i="1"/>
  <c r="A6" i="1"/>
  <c r="I6" i="1"/>
  <c r="A5" i="1"/>
  <c r="I5" i="1"/>
  <c r="I4" i="1"/>
  <c r="A4" i="1"/>
  <c r="J11" i="2" l="1"/>
  <c r="I12" i="2"/>
  <c r="P12" i="2" s="1"/>
  <c r="I11" i="2"/>
  <c r="F11" i="2"/>
  <c r="N11" i="2" s="1"/>
  <c r="K11" i="2"/>
  <c r="K10" i="2"/>
  <c r="F10" i="2"/>
  <c r="N10" i="2" s="1"/>
  <c r="J10" i="2"/>
  <c r="J9" i="2"/>
  <c r="F9" i="2"/>
  <c r="N9" i="2" s="1"/>
  <c r="I10" i="2"/>
  <c r="I9" i="2"/>
  <c r="J7" i="2"/>
  <c r="F7" i="2"/>
  <c r="N7" i="2" s="1"/>
  <c r="K7" i="2"/>
  <c r="I8" i="2"/>
  <c r="P8" i="2" s="1"/>
  <c r="I7" i="2"/>
  <c r="K6" i="2"/>
  <c r="J6" i="2"/>
  <c r="J4" i="2"/>
  <c r="J5" i="2"/>
  <c r="F5" i="2"/>
  <c r="N5" i="2" s="1"/>
  <c r="F4" i="2"/>
  <c r="N4" i="2" s="1"/>
  <c r="F6" i="2"/>
  <c r="N6" i="2" s="1"/>
  <c r="I6" i="2"/>
  <c r="I5" i="2"/>
  <c r="I4" i="2"/>
  <c r="P11" i="2" l="1"/>
  <c r="P10" i="2"/>
  <c r="P9" i="2"/>
  <c r="P6" i="2"/>
  <c r="P7" i="2"/>
  <c r="P4" i="2"/>
  <c r="P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C21827-9EF6-48A7-84A8-3040E0C62C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FBED021-7F2C-42A9-8851-EF889215613A}" name="WorksheetConnection_Daily_Summary!$A$1:$A$1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ily_SummaryA1A121"/>
        </x15:connection>
      </ext>
    </extLst>
  </connection>
  <connection id="3" xr16:uid="{848E0AE6-0A26-4D5B-A14D-77387825D463}" name="WorksheetConnection_Rapido_Earning_Dashboard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Rapido_Earning_Dashboard.xlsxTable21"/>
        </x15:connection>
      </ext>
    </extLst>
  </connection>
</connections>
</file>

<file path=xl/sharedStrings.xml><?xml version="1.0" encoding="utf-8"?>
<sst xmlns="http://schemas.openxmlformats.org/spreadsheetml/2006/main" count="247" uniqueCount="144">
  <si>
    <t>S.No.</t>
  </si>
  <si>
    <t>Payment Type</t>
  </si>
  <si>
    <t>Date</t>
  </si>
  <si>
    <t>Order ID</t>
  </si>
  <si>
    <t>Pickup KM</t>
  </si>
  <si>
    <t>Drop KM</t>
  </si>
  <si>
    <t>Online</t>
  </si>
  <si>
    <t>Cash</t>
  </si>
  <si>
    <t>RD77825850696925945</t>
  </si>
  <si>
    <t>Fuel Cost</t>
  </si>
  <si>
    <t>Rides</t>
  </si>
  <si>
    <t>Start Time</t>
  </si>
  <si>
    <t>End Time</t>
  </si>
  <si>
    <t>Total Hours</t>
  </si>
  <si>
    <t>Order Amount</t>
  </si>
  <si>
    <t>Tax Deducted</t>
  </si>
  <si>
    <t>Earning</t>
  </si>
  <si>
    <t>Total KM</t>
  </si>
  <si>
    <t>Cancellation Fees</t>
  </si>
  <si>
    <t>RD17783311026497758</t>
  </si>
  <si>
    <t>RD17783327786982813</t>
  </si>
  <si>
    <t>Wallet</t>
  </si>
  <si>
    <t>RD17784981682849822</t>
  </si>
  <si>
    <t>RD17784989833558972</t>
  </si>
  <si>
    <t>RD17785052835825454</t>
  </si>
  <si>
    <t>RD17785143133016990</t>
  </si>
  <si>
    <t>Incentive</t>
  </si>
  <si>
    <t>RD17787462629155589</t>
  </si>
  <si>
    <t>RD17790170256265039</t>
  </si>
  <si>
    <t>RD17790193393822037</t>
  </si>
  <si>
    <t>RD17790209225159936</t>
  </si>
  <si>
    <t>RD17790231946151202</t>
  </si>
  <si>
    <t>RD17790242829508262</t>
  </si>
  <si>
    <t>RD17790254403595716</t>
  </si>
  <si>
    <t>RD17790276417382554</t>
  </si>
  <si>
    <t>RD17790321256977588</t>
  </si>
  <si>
    <t>RD17791145235946717</t>
  </si>
  <si>
    <t>RD17791161442896162</t>
  </si>
  <si>
    <t>RD17791192255428480</t>
  </si>
  <si>
    <t>Recharge</t>
  </si>
  <si>
    <t>Net Earning</t>
  </si>
  <si>
    <t>Transferred To A/C</t>
  </si>
  <si>
    <t>Ride Data</t>
  </si>
  <si>
    <t>Daily Dashboard</t>
  </si>
  <si>
    <t>Row Labels</t>
  </si>
  <si>
    <t>Grand Total</t>
  </si>
  <si>
    <t>Sum of Rides</t>
  </si>
  <si>
    <t>Sum of Total KM</t>
  </si>
  <si>
    <t>Sum of Order Amount</t>
  </si>
  <si>
    <t>Sum of Tax Deducted</t>
  </si>
  <si>
    <t>Sum of Earning</t>
  </si>
  <si>
    <t>Sum of Incentive</t>
  </si>
  <si>
    <t>Sum of Fuel Cost</t>
  </si>
  <si>
    <t>Sum of Recharge</t>
  </si>
  <si>
    <t>Sum of Net Earning</t>
  </si>
  <si>
    <t>Sum of Total Hours</t>
  </si>
  <si>
    <t>No. Of Rides</t>
  </si>
  <si>
    <t>Total KM.</t>
  </si>
  <si>
    <t>Total Hrs.</t>
  </si>
  <si>
    <t>Total Order Amount</t>
  </si>
  <si>
    <t>Tax</t>
  </si>
  <si>
    <t>Total Earning</t>
  </si>
  <si>
    <t>Incentive(s)</t>
  </si>
  <si>
    <t>Total Fuel Cost</t>
  </si>
  <si>
    <t>Recharge Amount</t>
  </si>
  <si>
    <t>Day's Net Earning</t>
  </si>
  <si>
    <t>XXXXX81521969049002</t>
  </si>
  <si>
    <t>XXXXX81533881775107</t>
  </si>
  <si>
    <t>XXXXX81549890627238</t>
  </si>
  <si>
    <t>XXXXX81565818236687</t>
  </si>
  <si>
    <t>XXXXX81578136147919</t>
  </si>
  <si>
    <t>XXXXX81592305898788</t>
  </si>
  <si>
    <t>XXXXX81605635127782</t>
  </si>
  <si>
    <t>XXXXX81633738961501</t>
  </si>
  <si>
    <t>XXXXX81643770964544</t>
  </si>
  <si>
    <t>XXXXX81654635073945</t>
  </si>
  <si>
    <t>XXXXX81663731662698</t>
  </si>
  <si>
    <t>XXXXX81679657254032</t>
  </si>
  <si>
    <t>XXXXX81686716189175</t>
  </si>
  <si>
    <t>XXXXX81696462860697</t>
  </si>
  <si>
    <t>XXXXX81709585772755</t>
  </si>
  <si>
    <t>XXXXX82395316616898</t>
  </si>
  <si>
    <t>XXXXX82407428749600</t>
  </si>
  <si>
    <t>XXXXX82416568965269</t>
  </si>
  <si>
    <t>XXXXX82422342953624</t>
  </si>
  <si>
    <t>XXXXX82435132781796</t>
  </si>
  <si>
    <t>XXXXX82448592394667</t>
  </si>
  <si>
    <t>XXXXX82445766230920</t>
  </si>
  <si>
    <t>XXXXX82480374085897</t>
  </si>
  <si>
    <t>XXXXX82491743792031</t>
  </si>
  <si>
    <t>XXXXX82519743851355</t>
  </si>
  <si>
    <t>XXXXX82533409078483</t>
  </si>
  <si>
    <t>XXXXX82544566691548</t>
  </si>
  <si>
    <t>XXXXX82557963511896</t>
  </si>
  <si>
    <t>XXXXX82567822394898</t>
  </si>
  <si>
    <t>XXXXX83276157253518</t>
  </si>
  <si>
    <t>XXXXX83286241207753</t>
  </si>
  <si>
    <t>XXXXX83297872369766</t>
  </si>
  <si>
    <t>XXXXX83336189858624</t>
  </si>
  <si>
    <t>XXXXX83348649880925</t>
  </si>
  <si>
    <t>XXXXX83358926167032</t>
  </si>
  <si>
    <t>XXXXX83400354341497</t>
  </si>
  <si>
    <t>XXXXX84962620821486</t>
  </si>
  <si>
    <t>XXXXX85010605243593</t>
  </si>
  <si>
    <t>XXXXX85027506246252</t>
  </si>
  <si>
    <t>XXXXX85037685644354</t>
  </si>
  <si>
    <t>XXXXX85083850258502</t>
  </si>
  <si>
    <t>XXXXX85106457193029</t>
  </si>
  <si>
    <t>XXXXX85120946107616</t>
  </si>
  <si>
    <t>XXXXX85136269229759</t>
  </si>
  <si>
    <t>XXXXX87281614868497</t>
  </si>
  <si>
    <t>XXXXX87299335310538</t>
  </si>
  <si>
    <t>XXXXX87311724250960</t>
  </si>
  <si>
    <t>XXXXX87327933475322</t>
  </si>
  <si>
    <t>XXXXX87336798680578</t>
  </si>
  <si>
    <t>XXXXX87371187637431</t>
  </si>
  <si>
    <t>XXXXX87394609364394</t>
  </si>
  <si>
    <t>XXXXX87401852396861</t>
  </si>
  <si>
    <t>XXXXX87412995611392</t>
  </si>
  <si>
    <t>XXXXX87428813813230</t>
  </si>
  <si>
    <t>XXXXX87438171721919</t>
  </si>
  <si>
    <t>XXXXX87455517605825</t>
  </si>
  <si>
    <t>XXXXX87522418029248</t>
  </si>
  <si>
    <t>XXXXX90137875199570</t>
  </si>
  <si>
    <t>XXXXX90152244596636</t>
  </si>
  <si>
    <t>XXXXX90161648885512</t>
  </si>
  <si>
    <t>XXXXX90179809324505</t>
  </si>
  <si>
    <t>XXXXX90221020396755</t>
  </si>
  <si>
    <t>XXXXX90264279762647</t>
  </si>
  <si>
    <t>XXXXX90282809823547</t>
  </si>
  <si>
    <t>XXXXX90289640458311</t>
  </si>
  <si>
    <t>XXXXX90309902743747</t>
  </si>
  <si>
    <t>XXXXX90373854058528</t>
  </si>
  <si>
    <t>XXXXX91016777479887</t>
  </si>
  <si>
    <t>XXXXX91029685051139</t>
  </si>
  <si>
    <t>XXXXX91041471977594</t>
  </si>
  <si>
    <t>XXXXX91048156426491</t>
  </si>
  <si>
    <t>XXXXX91072081469698</t>
  </si>
  <si>
    <t>XXXXX91089132726997</t>
  </si>
  <si>
    <t>XXXXX91111345079759</t>
  </si>
  <si>
    <t>XXXXX91135771770959</t>
  </si>
  <si>
    <t>XXXXX91175793209352</t>
  </si>
  <si>
    <t>XXXXX91183387088601</t>
  </si>
  <si>
    <t>XXXXX91227010979141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</si>
</sst>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10409]hh:mm\ AM/PM;@"/>
    <numFmt numFmtId="166" formatCode="[$-14009]hh:mm;@"/>
  </numFmts>
  <fonts count="7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20"/>
      <color theme="4" tint="-0.499984740745262"/>
      <name val="Century Gothic"/>
      <family val="2"/>
      <scheme val="minor"/>
    </font>
    <font>
      <sz val="20"/>
      <color theme="4" tint="-0.499984740745262"/>
      <name val="Century Gothic"/>
      <family val="2"/>
      <scheme val="minor"/>
    </font>
    <font>
      <sz val="13"/>
      <color theme="1"/>
      <name val="Century Gothic"/>
      <family val="2"/>
      <scheme val="minor"/>
    </font>
    <font>
      <b/>
      <sz val="11"/>
      <color rgb="FF00B050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0" fillId="0" borderId="0" xfId="0" pivotButton="1"/>
    <xf numFmtId="164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pivotButton="1" applyAlignment="1">
      <alignment horizontal="center" vertical="center"/>
    </xf>
    <xf numFmtId="164" fontId="5" fillId="0" borderId="0" xfId="0" applyNumberFormat="1" applyFont="1" applyAlignment="1">
      <alignment horizontal="left"/>
    </xf>
    <xf numFmtId="166" fontId="5" fillId="0" borderId="0" xfId="0" applyNumberFormat="1" applyFont="1"/>
    <xf numFmtId="1" fontId="5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27">
    <dxf>
      <font>
        <b/>
        <strike val="0"/>
        <outline val="0"/>
        <shadow val="0"/>
        <u val="none"/>
        <vertAlign val="baseline"/>
        <sz val="11"/>
        <color rgb="FF00B050"/>
        <name val="Century Gothic"/>
        <family val="2"/>
        <scheme val="minor"/>
      </font>
    </dxf>
    <dxf>
      <font>
        <b/>
      </font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font>
        <b/>
      </font>
    </dxf>
    <dxf>
      <alignment horizontal="center" vertical="center" textRotation="0" wrapText="0" indent="0" justifyLastLine="0" shrinkToFit="0" readingOrder="0"/>
    </dxf>
    <dxf>
      <numFmt numFmtId="166" formatCode="[$-14009]hh:mm;@"/>
      <alignment horizontal="center" vertical="center" textRotation="0" wrapText="0" indent="0" justifyLastLine="0" shrinkToFit="0" readingOrder="0"/>
    </dxf>
    <dxf>
      <numFmt numFmtId="165" formatCode="[$-10409]hh:mm\ AM/PM;@"/>
      <alignment horizontal="center" vertical="center" textRotation="0" wrapText="0" indent="0" justifyLastLine="0" shrinkToFit="0" readingOrder="0"/>
    </dxf>
    <dxf>
      <numFmt numFmtId="165" formatCode="[$-10409]hh:mm\ AM/PM;@"/>
      <alignment horizontal="center" vertical="center" textRotation="0" wrapText="0" indent="0" justifyLastLine="0" shrinkToFit="0" readingOrder="0"/>
    </dxf>
    <dxf>
      <numFmt numFmtId="164" formatCode="[$-F800]dddd\,\ mmmm\ dd\,\ yyyy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3"/>
      </font>
    </dxf>
    <dxf>
      <font>
        <sz val="13"/>
      </font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8</xdr:col>
      <xdr:colOff>76200</xdr:colOff>
      <xdr:row>8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 1">
              <a:extLst>
                <a:ext uri="{FF2B5EF4-FFF2-40B4-BE49-F238E27FC236}">
                  <a16:creationId xmlns:a16="http://schemas.microsoft.com/office/drawing/2014/main" id="{0D11AEF4-2FD8-41BF-A56D-31692420E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480"/>
              <a:ext cx="701802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</xdr:row>
      <xdr:rowOff>38100</xdr:rowOff>
    </xdr:from>
    <xdr:to>
      <xdr:col>5</xdr:col>
      <xdr:colOff>342900</xdr:colOff>
      <xdr:row>10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76F095AA-3CE0-A13A-5B20-84D7AF98EA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403860"/>
              <a:ext cx="611124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OOF" refreshedDate="46169.846736458334" createdVersion="8" refreshedVersion="8" minRefreshableVersion="3" recordCount="9" xr:uid="{182391F9-83F0-4620-8C1B-09C5B440F0DB}">
  <cacheSource type="worksheet">
    <worksheetSource name="Table2"/>
  </cacheSource>
  <cacheFields count="18">
    <cacheField name="Date" numFmtId="164">
      <sharedItems containsSemiMixedTypes="0" containsNonDate="0" containsDate="1" containsString="0" minDate="2026-05-07T00:00:00" maxDate="2026-05-20T00:00:00" count="9">
        <d v="2026-05-07T00:00:00"/>
        <d v="2026-05-08T00:00:00"/>
        <d v="2026-05-09T00:00:00"/>
        <d v="2026-05-11T00:00:00"/>
        <d v="2026-05-12T00:00:00"/>
        <d v="2026-05-14T00:00:00"/>
        <d v="2026-05-17T00:00:00"/>
        <d v="2026-05-18T00:00:00"/>
        <d v="2026-05-19T00:00:00"/>
      </sharedItems>
    </cacheField>
    <cacheField name="Start Time" numFmtId="165">
      <sharedItems containsNonDate="0" containsDate="1" containsString="0" containsBlank="1" minDate="1899-12-30T08:45:00" maxDate="1899-12-30T17:00:00"/>
    </cacheField>
    <cacheField name="End Time" numFmtId="165">
      <sharedItems containsNonDate="0" containsDate="1" containsString="0" containsBlank="1" minDate="1899-12-30T15:45:00" maxDate="1899-12-30T22:45:00"/>
    </cacheField>
    <cacheField name="Total Hours" numFmtId="166">
      <sharedItems containsSemiMixedTypes="0" containsNonDate="0" containsDate="1" containsString="0" minDate="1899-12-30T00:00:00" maxDate="1899-12-30T07:00:00" count="8">
        <d v="1899-12-30T05:52:00"/>
        <d v="1899-12-30T05:30:00"/>
        <d v="1899-12-30T04:30:00"/>
        <d v="1899-12-30T06:00:00"/>
        <d v="1899-12-30T00:00:00"/>
        <d v="1899-12-30T07:00:00"/>
        <d v="1899-12-30T06:10:00"/>
        <d v="1899-12-30T06:30:00"/>
      </sharedItems>
      <fieldGroup par="17"/>
    </cacheField>
    <cacheField name="Rides" numFmtId="0">
      <sharedItems containsSemiMixedTypes="0" containsString="0" containsNumber="1" containsInteger="1" minValue="0" maxValue="18"/>
    </cacheField>
    <cacheField name="Total KM" numFmtId="0">
      <sharedItems containsSemiMixedTypes="0" containsString="0" containsNumber="1" minValue="0" maxValue="111.72"/>
    </cacheField>
    <cacheField name="Order Amount" numFmtId="0">
      <sharedItems containsSemiMixedTypes="0" containsString="0" containsNumber="1" containsInteger="1" minValue="0" maxValue="1043"/>
    </cacheField>
    <cacheField name="Tax Deducted" numFmtId="0">
      <sharedItems containsSemiMixedTypes="0" containsString="0" containsNumber="1" minValue="0" maxValue="81.359999999999985"/>
    </cacheField>
    <cacheField name="Earning" numFmtId="0">
      <sharedItems containsSemiMixedTypes="0" containsString="0" containsNumber="1" minValue="0" maxValue="967.89"/>
    </cacheField>
    <cacheField name="Wallet" numFmtId="0">
      <sharedItems containsSemiMixedTypes="0" containsString="0" containsNumber="1" minValue="0" maxValue="659.34999999999991"/>
    </cacheField>
    <cacheField name="Cash" numFmtId="0">
      <sharedItems containsSemiMixedTypes="0" containsString="0" containsNumber="1" minValue="0" maxValue="326.77"/>
    </cacheField>
    <cacheField name="Cancellation Fees" numFmtId="0">
      <sharedItems containsString="0" containsBlank="1" containsNumber="1" containsInteger="1" minValue="6" maxValue="9"/>
    </cacheField>
    <cacheField name="Incentive" numFmtId="0">
      <sharedItems containsString="0" containsBlank="1" containsNumber="1" containsInteger="1" minValue="100" maxValue="100"/>
    </cacheField>
    <cacheField name="Fuel Cost" numFmtId="1">
      <sharedItems containsSemiMixedTypes="0" containsString="0" containsNumber="1" minValue="0" maxValue="214.84615384615387"/>
    </cacheField>
    <cacheField name="Recharge" numFmtId="0">
      <sharedItems containsString="0" containsBlank="1" containsNumber="1" containsInteger="1" minValue="219" maxValue="399"/>
    </cacheField>
    <cacheField name="Net Earning" numFmtId="1">
      <sharedItems containsSemiMixedTypes="0" containsString="0" containsNumber="1" minValue="0" maxValue="859.04384615384606"/>
    </cacheField>
    <cacheField name="Transferred To A/C" numFmtId="0">
      <sharedItems containsString="0" containsBlank="1" containsNumber="1" minValue="510" maxValue="1476"/>
    </cacheField>
    <cacheField name="Hours (Total Hours)" numFmtId="0" databaseField="0">
      <fieldGroup base="3">
        <rangePr groupBy="hours" startDate="1899-12-30T00:00:00" endDate="1899-12-30T07:0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4234963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1899-12-30T16:26:00"/>
    <d v="1899-12-30T22:18:00"/>
    <x v="0"/>
    <n v="15"/>
    <n v="68.67"/>
    <n v="647"/>
    <n v="64.53"/>
    <n v="582.47"/>
    <n v="582.47000000000014"/>
    <n v="0"/>
    <m/>
    <m/>
    <n v="132.05769230769232"/>
    <n v="399"/>
    <n v="51.41230769230765"/>
    <m/>
  </r>
  <r>
    <x v="1"/>
    <d v="1899-12-30T17:00:00"/>
    <d v="1899-12-30T22:30:00"/>
    <x v="1"/>
    <n v="15"/>
    <n v="81.029999999999987"/>
    <n v="768"/>
    <n v="68.19"/>
    <n v="699.81"/>
    <n v="603.77"/>
    <n v="96.04"/>
    <m/>
    <m/>
    <n v="155.82692307692304"/>
    <m/>
    <n v="543.98307692307685"/>
    <m/>
  </r>
  <r>
    <x v="2"/>
    <d v="1899-12-30T17:00:00"/>
    <d v="1899-12-30T21:30:00"/>
    <x v="2"/>
    <n v="9"/>
    <n v="40.410000000000004"/>
    <n v="386"/>
    <n v="38.599999999999994"/>
    <n v="347.4"/>
    <n v="288.08000000000004"/>
    <n v="59.32"/>
    <n v="6"/>
    <m/>
    <n v="77.711538461538467"/>
    <m/>
    <n v="275.68846153846152"/>
    <n v="1476"/>
  </r>
  <r>
    <x v="3"/>
    <d v="1899-12-30T16:00:00"/>
    <d v="1899-12-30T22:00:00"/>
    <x v="3"/>
    <n v="12"/>
    <n v="84.72"/>
    <n v="883"/>
    <n v="69.02000000000001"/>
    <n v="813.98"/>
    <n v="557.26"/>
    <n v="256.72000000000003"/>
    <n v="9"/>
    <m/>
    <n v="162.92307692307693"/>
    <m/>
    <n v="660.05692307692311"/>
    <m/>
  </r>
  <r>
    <x v="4"/>
    <m/>
    <m/>
    <x v="4"/>
    <n v="0"/>
    <n v="0"/>
    <n v="0"/>
    <n v="0"/>
    <n v="0"/>
    <n v="0"/>
    <n v="0"/>
    <m/>
    <m/>
    <n v="0"/>
    <m/>
    <n v="0"/>
    <n v="544"/>
  </r>
  <r>
    <x v="5"/>
    <d v="1899-12-30T08:45:00"/>
    <d v="1899-12-30T15:45:00"/>
    <x v="5"/>
    <n v="14"/>
    <n v="111.72"/>
    <n v="1043"/>
    <n v="75.11"/>
    <n v="967.89"/>
    <n v="659.34999999999991"/>
    <n v="308.54000000000002"/>
    <n v="6"/>
    <n v="100"/>
    <n v="214.84615384615387"/>
    <m/>
    <n v="859.04384615384606"/>
    <n v="760"/>
  </r>
  <r>
    <x v="6"/>
    <d v="1899-12-30T15:50:00"/>
    <d v="1899-12-30T22:00:00"/>
    <x v="6"/>
    <n v="18"/>
    <n v="93.12"/>
    <n v="858"/>
    <n v="81.359999999999985"/>
    <n v="776.64"/>
    <n v="449.87"/>
    <n v="326.77"/>
    <m/>
    <n v="100"/>
    <n v="179.07692307692309"/>
    <n v="219"/>
    <n v="478.56307692307689"/>
    <m/>
  </r>
  <r>
    <x v="7"/>
    <d v="1899-12-30T16:15:00"/>
    <d v="1899-12-30T22:45:00"/>
    <x v="7"/>
    <n v="14"/>
    <n v="92.57"/>
    <n v="785"/>
    <n v="68.77000000000001"/>
    <n v="716.23"/>
    <n v="540.97"/>
    <n v="175.26"/>
    <m/>
    <m/>
    <n v="178.01923076923077"/>
    <m/>
    <n v="538.2107692307693"/>
    <n v="514.69000000000005"/>
  </r>
  <r>
    <x v="8"/>
    <m/>
    <m/>
    <x v="4"/>
    <n v="0"/>
    <n v="0"/>
    <n v="0"/>
    <n v="0"/>
    <n v="0"/>
    <n v="0"/>
    <n v="0"/>
    <m/>
    <m/>
    <n v="0"/>
    <m/>
    <n v="0"/>
    <n v="5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703CE-15C7-4F0A-BB3D-1873396D4503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 rowHeaderCaption="Date">
  <location ref="A13:K17" firstHeaderRow="0" firstDataRow="1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166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numFmtId="1" showAll="0"/>
    <pivotField dataField="1" showAll="0"/>
    <pivotField dataField="1" numFmtI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No. Of Rides" fld="4" baseField="0" baseItem="0"/>
    <dataField name="Total KM." fld="5" baseField="0" baseItem="0"/>
    <dataField name="Total Hrs." fld="3" baseField="0" baseItem="0" numFmtId="166"/>
    <dataField name="Total Order Amount" fld="6" baseField="0" baseItem="0"/>
    <dataField name="Tax" fld="7" baseField="0" baseItem="0"/>
    <dataField name="Total Earning" fld="8" baseField="0" baseItem="0"/>
    <dataField name="Incentive(s)" fld="12" baseField="0" baseItem="0"/>
    <dataField name="Total Fuel Cost" fld="13" baseField="0" baseItem="0" numFmtId="1"/>
    <dataField name="Recharge Amount" fld="14" baseField="0" baseItem="0"/>
    <dataField name="Day's Net Earning" fld="15" baseField="0" baseItem="0" numFmtId="1"/>
  </dataFields>
  <formats count="6"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dateBetween" evalOrder="-1" id="60" name="Date">
      <autoFilter ref="A1">
        <filterColumn colId="0">
          <customFilters and="1">
            <customFilter operator="greaterThanOrEqual" val="46149"/>
            <customFilter operator="lessThanOrEqual" val="461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FA1D9-4765-41FA-86CF-9860B78AD708}" name="PivotTable6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2">
  <location ref="M11:O28" firstHeaderRow="1" firstDataRow="1" firstDataCol="0"/>
  <pivotFields count="18">
    <pivotField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66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pivotTableStyleInfo name="PivotStyleLight16" showRowHeaders="1" showColHeaders="1" showRowStripes="0" showColStripes="0" showLastColumn="1"/>
  <filters count="1">
    <filter fld="0" type="dateBetween" evalOrder="-1" id="60" name="Date">
      <autoFilter ref="A1">
        <filterColumn colId="0">
          <customFilters and="1">
            <customFilter operator="greaterThanOrEqual" val="46149"/>
            <customFilter operator="lessThanOrEqual" val="461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8AFB1-9E4D-4AF6-9CEF-0E8AD55291CD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6">
  <location ref="A11:K15" firstHeaderRow="0" firstDataRow="1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166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numFmtId="1" showAll="0"/>
    <pivotField dataField="1" showAll="0"/>
    <pivotField dataField="1" numFmtI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Rides" fld="4" baseField="0" baseItem="0"/>
    <dataField name="Sum of Total KM" fld="5" baseField="0" baseItem="0"/>
    <dataField name="Sum of Total Hours" fld="3" baseField="0" baseItem="0" numFmtId="166"/>
    <dataField name="Sum of Order Amount" fld="6" baseField="0" baseItem="0"/>
    <dataField name="Sum of Tax Deducted" fld="7" baseField="0" baseItem="0"/>
    <dataField name="Sum of Earning" fld="8" baseField="0" baseItem="0"/>
    <dataField name="Sum of Incentive" fld="12" baseField="0" baseItem="0"/>
    <dataField name="Sum of Fuel Cost" fld="13" baseField="0" baseItem="0" numFmtId="1"/>
    <dataField name="Sum of Recharge" fld="14" baseField="0" baseItem="0"/>
    <dataField name="Sum of Net Earning" fld="15" baseField="0" baseItem="0" numFmtId="1"/>
  </dataFields>
  <pivotTableStyleInfo name="PivotStyleLight16" showRowHeaders="1" showColHeaders="1" showRowStripes="0" showColStripes="0" showLastColumn="1"/>
  <filters count="1">
    <filter fld="0" type="dateBetween" evalOrder="-1" id="60" name="Date">
      <autoFilter ref="A1">
        <filterColumn colId="0">
          <customFilters and="1">
            <customFilter operator="greaterThanOrEqual" val="46149"/>
            <customFilter operator="lessThanOrEqual" val="461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46A4-EC7E-45A3-84D0-EA8AAB8AF75A}" name="Table1" displayName="Table1" ref="A3:J100" totalsRowShown="0" headerRowDxfId="20">
  <autoFilter ref="A3:J100" xr:uid="{83EE46A4-EC7E-45A3-84D0-EA8AAB8AF75A}">
    <filterColumn colId="9">
      <filters>
        <filter val="Online"/>
      </filters>
    </filterColumn>
  </autoFilter>
  <tableColumns count="10">
    <tableColumn id="1" xr3:uid="{BD729C8F-D58A-471D-B201-8B7B827D2F2F}" name="S.No." dataDxfId="19">
      <calculatedColumnFormula>IF($B$4=" ", " ", ROW()-3)</calculatedColumnFormula>
    </tableColumn>
    <tableColumn id="6" xr3:uid="{81CEACB8-EECC-4F4E-92E6-65F8FD44A913}" name="Date" dataDxfId="18"/>
    <tableColumn id="8" xr3:uid="{EF167DC2-F869-4AA1-8437-5D18AC39F41C}" name="Order ID" dataDxfId="17"/>
    <tableColumn id="9" xr3:uid="{4EB68647-6FF9-4201-86BE-6577333BBB4C}" name="Pickup KM" dataDxfId="16"/>
    <tableColumn id="7" xr3:uid="{E33DA3FC-13C0-4EAC-BE0D-80A2F0F9A4BF}" name="Drop KM" dataDxfId="15"/>
    <tableColumn id="10" xr3:uid="{1D3510FD-97E3-4282-8120-57EB1438DFB4}" name="Total KM" dataDxfId="14">
      <calculatedColumnFormula>SUM(Table1[[#This Row],[Pickup KM]:[Drop KM]])</calculatedColumnFormula>
    </tableColumn>
    <tableColumn id="2" xr3:uid="{8F526FC9-A0D1-4D93-B9DF-99211EAB9212}" name="Order Amount" dataDxfId="13"/>
    <tableColumn id="3" xr3:uid="{4D418CA2-BCD4-47DD-83F4-1BDB739C218A}" name="Tax Deducted" dataDxfId="12"/>
    <tableColumn id="4" xr3:uid="{BEFB4675-D689-407A-9313-93A16FC3FB7B}" name="Earning" dataDxfId="11">
      <calculatedColumnFormula>G4-H4</calculatedColumnFormula>
    </tableColumn>
    <tableColumn id="5" xr3:uid="{35B419DD-81C7-43EC-ADEE-53555C86EB6D}" name="Paymen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842B9-6915-4B9E-8B81-D12A011DCE60}" name="Table2" displayName="Table2" ref="A3:Q12" totalsRowShown="0">
  <autoFilter ref="A3:Q12" xr:uid="{A4E842B9-6915-4B9E-8B81-D12A011DCE60}"/>
  <tableColumns count="17">
    <tableColumn id="1" xr3:uid="{660D111B-F377-4627-91A7-B421C196CC7A}" name="Date" dataDxfId="10"/>
    <tableColumn id="2" xr3:uid="{3F56C2F3-13BF-475A-B248-CE6D81B86FCD}" name="Start Time" dataDxfId="9"/>
    <tableColumn id="3" xr3:uid="{3C1DC6CB-1883-464B-A5BE-D46779A05706}" name="End Time" dataDxfId="8"/>
    <tableColumn id="4" xr3:uid="{AFC0CDF1-4F35-45A6-BA17-B1A9EABFA541}" name="Total Hours" dataDxfId="7">
      <calculatedColumnFormula>C4-B4</calculatedColumnFormula>
    </tableColumn>
    <tableColumn id="5" xr3:uid="{EEB9886C-6F08-4B7D-82E6-05D0CA31EDA4}" name="Rides" dataDxfId="6">
      <calculatedColumnFormula>COUNTIF(Ride_Entries!B:B, Table2[[#This Row],[Date]])</calculatedColumnFormula>
    </tableColumn>
    <tableColumn id="6" xr3:uid="{C86710D4-8DB4-4888-8772-AF8287F3F7AA}" name="Total KM">
      <calculatedColumnFormula>SUMIF(Ride_Entries!B:B, Table2[[#This Row],[Date]], Ride_Entries!F:F)</calculatedColumnFormula>
    </tableColumn>
    <tableColumn id="7" xr3:uid="{EB719CB5-262D-43E2-BC9D-5D18C8CA0D64}" name="Order Amount">
      <calculatedColumnFormula>SUMIF(Ride_Entries!B:B, Table2[[#This Row],[Date]], Ride_Entries!G:G)</calculatedColumnFormula>
    </tableColumn>
    <tableColumn id="8" xr3:uid="{49016715-7B02-403D-BFFC-06F09B4D5465}" name="Tax Deducted">
      <calculatedColumnFormula>SUMIF(Ride_Entries!B:B, Table2[[#This Row],[Date]], Ride_Entries!H:H)</calculatedColumnFormula>
    </tableColumn>
    <tableColumn id="9" xr3:uid="{5B1F0549-7932-481F-BBBF-33DA44A3F658}" name="Earning" dataDxfId="5">
      <calculatedColumnFormula>Table2[[#This Row],[Order Amount]]-Table2[[#This Row],[Tax Deducted]]</calculatedColumnFormula>
    </tableColumn>
    <tableColumn id="15" xr3:uid="{AEDA40DB-FB6E-4C6F-8D73-A474BFBA3C29}" name="Wallet" dataDxfId="4">
      <calculatedColumnFormula>SUMIFS(Ride_Entries!I:I, Ride_Entries!B:B, Table2[[#This Row],[Date]], Ride_Entries!J:J, "Online")</calculatedColumnFormula>
    </tableColumn>
    <tableColumn id="16" xr3:uid="{67B50E4D-D2A3-4E28-826C-2B63A66547D6}" name="Cash" dataDxfId="3">
      <calculatedColumnFormula>SUMIFS(Ride_Entries!I:I, Ride_Entries!B:B, Table2[[#This Row],[Date]], Ride_Entries!J:J, "Cash")</calculatedColumnFormula>
    </tableColumn>
    <tableColumn id="17" xr3:uid="{DFC05B19-95AF-43AB-9216-27DA8CCD4B65}" name="Cancellation Fees"/>
    <tableColumn id="18" xr3:uid="{CE86139D-EA79-4EF2-B83A-311B45F4BF0B}" name="Incentive"/>
    <tableColumn id="10" xr3:uid="{BEBAE391-2B4F-4FA9-8AA5-BFE54876DDA7}" name="Fuel Cost" dataDxfId="2">
      <calculatedColumnFormula>(F4/52)*100</calculatedColumnFormula>
    </tableColumn>
    <tableColumn id="11" xr3:uid="{4381028E-889C-4179-B962-8BE6F12E7660}" name="Recharge"/>
    <tableColumn id="12" xr3:uid="{FD57CD3B-F2DF-4109-B17D-884AB51D6B9B}" name="Net Earning" dataDxfId="1">
      <calculatedColumnFormula>((Table2[[#This Row],[Earning]]+Table2[[#This Row],[Cancellation Fees]]+Table2[[#This Row],[Incentive]])-(Table2[[#This Row],[Fuel Cost]]+Table2[[#This Row],[Recharge]]))</calculatedColumnFormula>
    </tableColumn>
    <tableColumn id="13" xr3:uid="{ACA1D341-1EC0-4F2D-9964-7A66A96BAD86}" name="Transferred To A/C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1F183B0D-F232-4732-A166-97F2CEF756D9}" sourceName="Date">
  <pivotTables>
    <pivotTable tabId="11" name="PivotTable3"/>
    <pivotTable tabId="3" name="PivotTable5"/>
    <pivotTable tabId="11" name="PivotTable6"/>
  </pivotTables>
  <state minimalRefreshVersion="6" lastRefreshVersion="6" pivotCacheId="423496319" filterType="dateBetween">
    <selection startDate="2026-05-07T00:00:00" endDate="2026-05-09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5FD59308-B945-461F-B384-CC3C4810DC63}" cache="NativeTimeline_Date" caption="Date" level="3" selectionLevel="3" scrollPosition="2026-05-03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5D12BA9-6393-413F-9443-4FD0782167D4}" cache="NativeTimeline_Date" caption="Date" level="3" selectionLevel="3" scrollPosition="2026-04-2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A149-F2C0-4952-A80A-66F1F7075D6C}">
  <dimension ref="A13:K17"/>
  <sheetViews>
    <sheetView showGridLines="0" tabSelected="1" workbookViewId="0">
      <selection activeCell="J11" sqref="J11"/>
    </sheetView>
  </sheetViews>
  <sheetFormatPr defaultRowHeight="13.8" x14ac:dyDescent="0.25"/>
  <cols>
    <col min="1" max="1" width="13.09765625" customWidth="1"/>
    <col min="2" max="2" width="11.296875" customWidth="1"/>
    <col min="3" max="3" width="9" customWidth="1"/>
    <col min="4" max="4" width="8.796875" customWidth="1"/>
    <col min="5" max="5" width="17.8984375" customWidth="1"/>
    <col min="6" max="6" width="8.296875" customWidth="1"/>
    <col min="7" max="7" width="11.8984375" customWidth="1"/>
    <col min="8" max="8" width="10.796875" customWidth="1"/>
    <col min="9" max="9" width="13.296875" customWidth="1"/>
    <col min="10" max="10" width="16.09765625" customWidth="1"/>
    <col min="11" max="12" width="15.69921875" customWidth="1"/>
  </cols>
  <sheetData>
    <row r="13" spans="1:11" x14ac:dyDescent="0.25">
      <c r="A13" s="23" t="s">
        <v>2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1" x14ac:dyDescent="0.25">
      <c r="A14" s="21">
        <v>46149</v>
      </c>
      <c r="B14">
        <v>15</v>
      </c>
      <c r="C14">
        <v>68.67</v>
      </c>
      <c r="D14" s="22">
        <v>0.24444444444444444</v>
      </c>
      <c r="E14">
        <v>647</v>
      </c>
      <c r="F14">
        <v>64.53</v>
      </c>
      <c r="G14">
        <v>582.47</v>
      </c>
      <c r="I14" s="6">
        <v>132.05769230769232</v>
      </c>
      <c r="J14">
        <v>399</v>
      </c>
      <c r="K14" s="6">
        <v>51.41230769230765</v>
      </c>
    </row>
    <row r="15" spans="1:11" x14ac:dyDescent="0.25">
      <c r="A15" s="21">
        <v>46150</v>
      </c>
      <c r="B15">
        <v>15</v>
      </c>
      <c r="C15">
        <v>81.029999999999987</v>
      </c>
      <c r="D15" s="22">
        <v>0.22916666666666666</v>
      </c>
      <c r="E15">
        <v>768</v>
      </c>
      <c r="F15">
        <v>68.19</v>
      </c>
      <c r="G15">
        <v>699.81</v>
      </c>
      <c r="I15" s="6">
        <v>155.82692307692304</v>
      </c>
      <c r="K15" s="6">
        <v>543.98307692307685</v>
      </c>
    </row>
    <row r="16" spans="1:11" x14ac:dyDescent="0.25">
      <c r="A16" s="21">
        <v>46151</v>
      </c>
      <c r="B16">
        <v>9</v>
      </c>
      <c r="C16">
        <v>40.410000000000004</v>
      </c>
      <c r="D16" s="22">
        <v>0.1875</v>
      </c>
      <c r="E16">
        <v>386</v>
      </c>
      <c r="F16">
        <v>38.599999999999994</v>
      </c>
      <c r="G16">
        <v>347.4</v>
      </c>
      <c r="I16" s="6">
        <v>77.711538461538467</v>
      </c>
      <c r="K16" s="6">
        <v>275.68846153846152</v>
      </c>
    </row>
    <row r="17" spans="1:11" ht="16.2" x14ac:dyDescent="0.25">
      <c r="A17" s="24" t="s">
        <v>45</v>
      </c>
      <c r="B17" s="27">
        <v>39</v>
      </c>
      <c r="C17" s="27">
        <v>190.10999999999999</v>
      </c>
      <c r="D17" s="25">
        <v>0.66111111111111109</v>
      </c>
      <c r="E17" s="27">
        <v>1801</v>
      </c>
      <c r="F17" s="27">
        <v>171.32</v>
      </c>
      <c r="G17" s="27">
        <v>1629.6799999999998</v>
      </c>
      <c r="H17" s="27"/>
      <c r="I17" s="26">
        <v>365.59615384615381</v>
      </c>
      <c r="J17" s="27">
        <v>399</v>
      </c>
      <c r="K17" s="26">
        <v>871.08384615384603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showGridLines="0" zoomScaleNormal="100" zoomScaleSheetLayoutView="100" workbookViewId="0">
      <selection activeCell="C13" sqref="C13"/>
    </sheetView>
  </sheetViews>
  <sheetFormatPr defaultRowHeight="13.8" x14ac:dyDescent="0.25"/>
  <cols>
    <col min="1" max="1" width="7.59765625" style="1" customWidth="1"/>
    <col min="2" max="2" width="13.5" style="5" customWidth="1"/>
    <col min="3" max="3" width="20.5" style="3" customWidth="1"/>
    <col min="4" max="4" width="11.296875" style="13" customWidth="1"/>
    <col min="5" max="5" width="11.69921875" style="1" customWidth="1"/>
    <col min="6" max="6" width="11.09765625" style="1" customWidth="1"/>
    <col min="7" max="7" width="15.296875" style="1" customWidth="1"/>
    <col min="8" max="8" width="15" style="1" customWidth="1"/>
    <col min="9" max="9" width="9.59765625" style="1" customWidth="1"/>
    <col min="10" max="10" width="18.09765625" customWidth="1"/>
  </cols>
  <sheetData>
    <row r="1" spans="1:10" x14ac:dyDescent="0.25">
      <c r="A1" s="29" t="s">
        <v>42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x14ac:dyDescent="0.25">
      <c r="A2" s="32"/>
      <c r="B2" s="33"/>
      <c r="C2" s="33"/>
      <c r="D2" s="33"/>
      <c r="E2" s="33"/>
      <c r="F2" s="33"/>
      <c r="G2" s="33"/>
      <c r="H2" s="33"/>
      <c r="I2" s="33"/>
      <c r="J2" s="34"/>
    </row>
    <row r="3" spans="1:10" x14ac:dyDescent="0.25">
      <c r="A3" s="12" t="s">
        <v>0</v>
      </c>
      <c r="B3" s="3" t="s">
        <v>2</v>
      </c>
      <c r="C3" s="3" t="s">
        <v>3</v>
      </c>
      <c r="D3" s="11" t="s">
        <v>4</v>
      </c>
      <c r="E3" s="12" t="s">
        <v>5</v>
      </c>
      <c r="F3" s="12" t="s">
        <v>17</v>
      </c>
      <c r="G3" s="12" t="s">
        <v>14</v>
      </c>
      <c r="H3" s="12" t="s">
        <v>15</v>
      </c>
      <c r="I3" s="12" t="s">
        <v>16</v>
      </c>
      <c r="J3" s="12" t="s">
        <v>1</v>
      </c>
    </row>
    <row r="4" spans="1:10" x14ac:dyDescent="0.25">
      <c r="A4" s="1">
        <f t="shared" ref="A4" si="0">IF($B$4=" ", " ", ROW()-3)</f>
        <v>1</v>
      </c>
      <c r="B4" s="5">
        <v>46149</v>
      </c>
      <c r="C4" s="3" t="s">
        <v>66</v>
      </c>
      <c r="D4" s="13">
        <v>1.38</v>
      </c>
      <c r="E4" s="1">
        <v>1.67</v>
      </c>
      <c r="F4" s="1">
        <f>SUM(Table1[[#This Row],[Pickup KM]:[Drop KM]])</f>
        <v>3.05</v>
      </c>
      <c r="G4" s="1">
        <v>26</v>
      </c>
      <c r="H4" s="1">
        <v>3.49</v>
      </c>
      <c r="I4" s="1">
        <f t="shared" ref="I4" si="1">G4-H4</f>
        <v>22.509999999999998</v>
      </c>
      <c r="J4" s="1" t="s">
        <v>6</v>
      </c>
    </row>
    <row r="5" spans="1:10" x14ac:dyDescent="0.25">
      <c r="A5" s="1">
        <f t="shared" ref="A5:A19" si="2">IF($B$4=" ", " ", ROW()-3)</f>
        <v>2</v>
      </c>
      <c r="B5" s="5">
        <v>46149</v>
      </c>
      <c r="C5" s="3" t="s">
        <v>67</v>
      </c>
      <c r="D5" s="13">
        <v>1.39</v>
      </c>
      <c r="E5" s="1">
        <v>4.1399999999999997</v>
      </c>
      <c r="F5" s="1">
        <f>SUM(Table1[[#This Row],[Pickup KM]:[Drop KM]])</f>
        <v>5.5299999999999994</v>
      </c>
      <c r="G5" s="1">
        <v>43</v>
      </c>
      <c r="H5" s="1">
        <v>4.3</v>
      </c>
      <c r="I5" s="1">
        <f t="shared" ref="I5:I19" si="3">G5-H5</f>
        <v>38.700000000000003</v>
      </c>
      <c r="J5" s="1" t="s">
        <v>6</v>
      </c>
    </row>
    <row r="6" spans="1:10" x14ac:dyDescent="0.25">
      <c r="A6" s="1">
        <f t="shared" si="2"/>
        <v>3</v>
      </c>
      <c r="B6" s="5">
        <v>46149</v>
      </c>
      <c r="C6" s="3" t="s">
        <v>68</v>
      </c>
      <c r="D6" s="13">
        <v>2.15</v>
      </c>
      <c r="E6" s="1">
        <v>4.7699999999999996</v>
      </c>
      <c r="F6" s="1">
        <f>SUM(Table1[[#This Row],[Pickup KM]:[Drop KM]])</f>
        <v>6.92</v>
      </c>
      <c r="G6" s="1">
        <v>48</v>
      </c>
      <c r="H6" s="1">
        <v>4.53</v>
      </c>
      <c r="I6" s="1">
        <f t="shared" si="3"/>
        <v>43.47</v>
      </c>
      <c r="J6" s="1" t="s">
        <v>6</v>
      </c>
    </row>
    <row r="7" spans="1:10" x14ac:dyDescent="0.25">
      <c r="A7" s="1">
        <f t="shared" si="2"/>
        <v>4</v>
      </c>
      <c r="B7" s="5">
        <v>46149</v>
      </c>
      <c r="C7" s="3" t="s">
        <v>69</v>
      </c>
      <c r="D7" s="13">
        <v>0.64</v>
      </c>
      <c r="E7" s="1">
        <v>1.82</v>
      </c>
      <c r="F7" s="1">
        <f>SUM(Table1[[#This Row],[Pickup KM]:[Drop KM]])</f>
        <v>2.46</v>
      </c>
      <c r="G7" s="1">
        <v>41</v>
      </c>
      <c r="H7" s="1">
        <v>4.2</v>
      </c>
      <c r="I7" s="1">
        <f t="shared" si="3"/>
        <v>36.799999999999997</v>
      </c>
      <c r="J7" s="1" t="s">
        <v>6</v>
      </c>
    </row>
    <row r="8" spans="1:10" x14ac:dyDescent="0.25">
      <c r="A8" s="1">
        <f t="shared" si="2"/>
        <v>5</v>
      </c>
      <c r="B8" s="5">
        <v>46149</v>
      </c>
      <c r="C8" s="3" t="s">
        <v>70</v>
      </c>
      <c r="D8" s="13">
        <v>1.65</v>
      </c>
      <c r="E8" s="1">
        <v>3.73</v>
      </c>
      <c r="F8" s="1">
        <f>SUM(Table1[[#This Row],[Pickup KM]:[Drop KM]])</f>
        <v>5.38</v>
      </c>
      <c r="G8" s="1">
        <v>40</v>
      </c>
      <c r="H8" s="1">
        <v>4.1500000000000004</v>
      </c>
      <c r="I8" s="1">
        <f t="shared" si="3"/>
        <v>35.85</v>
      </c>
      <c r="J8" s="1" t="s">
        <v>6</v>
      </c>
    </row>
    <row r="9" spans="1:10" x14ac:dyDescent="0.25">
      <c r="A9" s="1">
        <f t="shared" si="2"/>
        <v>6</v>
      </c>
      <c r="B9" s="5">
        <v>46149</v>
      </c>
      <c r="C9" s="3" t="s">
        <v>71</v>
      </c>
      <c r="D9" s="13">
        <v>1.33</v>
      </c>
      <c r="E9" s="1">
        <v>3.83</v>
      </c>
      <c r="F9" s="1">
        <f>SUM(Table1[[#This Row],[Pickup KM]:[Drop KM]])</f>
        <v>5.16</v>
      </c>
      <c r="G9" s="1">
        <v>47</v>
      </c>
      <c r="H9" s="1">
        <v>4.49</v>
      </c>
      <c r="I9" s="1">
        <f t="shared" si="3"/>
        <v>42.51</v>
      </c>
      <c r="J9" s="1" t="s">
        <v>6</v>
      </c>
    </row>
    <row r="10" spans="1:10" x14ac:dyDescent="0.25">
      <c r="A10" s="1">
        <f t="shared" si="2"/>
        <v>7</v>
      </c>
      <c r="B10" s="5">
        <v>46149</v>
      </c>
      <c r="C10" s="3" t="s">
        <v>72</v>
      </c>
      <c r="D10" s="13">
        <v>1.19</v>
      </c>
      <c r="E10" s="1">
        <v>8.5299999999999994</v>
      </c>
      <c r="F10" s="1">
        <f>SUM(Table1[[#This Row],[Pickup KM]:[Drop KM]])</f>
        <v>9.7199999999999989</v>
      </c>
      <c r="G10" s="1">
        <v>95</v>
      </c>
      <c r="H10" s="1">
        <v>6.77</v>
      </c>
      <c r="I10" s="1">
        <f t="shared" si="3"/>
        <v>88.23</v>
      </c>
      <c r="J10" s="1" t="s">
        <v>6</v>
      </c>
    </row>
    <row r="11" spans="1:10" x14ac:dyDescent="0.25">
      <c r="A11" s="1">
        <f t="shared" si="2"/>
        <v>8</v>
      </c>
      <c r="B11" s="5">
        <v>46149</v>
      </c>
      <c r="C11" s="3" t="s">
        <v>73</v>
      </c>
      <c r="D11" s="13">
        <v>0.01</v>
      </c>
      <c r="E11" s="1">
        <v>2.96</v>
      </c>
      <c r="F11" s="1">
        <f>SUM(Table1[[#This Row],[Pickup KM]:[Drop KM]])</f>
        <v>2.9699999999999998</v>
      </c>
      <c r="G11" s="1">
        <v>34</v>
      </c>
      <c r="H11" s="1">
        <v>3.87</v>
      </c>
      <c r="I11" s="1">
        <f t="shared" si="3"/>
        <v>30.13</v>
      </c>
      <c r="J11" s="1" t="s">
        <v>6</v>
      </c>
    </row>
    <row r="12" spans="1:10" x14ac:dyDescent="0.25">
      <c r="A12" s="1">
        <f t="shared" si="2"/>
        <v>9</v>
      </c>
      <c r="B12" s="5">
        <v>46149</v>
      </c>
      <c r="C12" s="3" t="s">
        <v>74</v>
      </c>
      <c r="D12" s="13">
        <v>1.28</v>
      </c>
      <c r="E12" s="1">
        <v>2.72</v>
      </c>
      <c r="F12" s="1">
        <f>SUM(Table1[[#This Row],[Pickup KM]:[Drop KM]])</f>
        <v>4</v>
      </c>
      <c r="G12" s="1">
        <v>38</v>
      </c>
      <c r="H12" s="1">
        <v>4.0599999999999996</v>
      </c>
      <c r="I12" s="1">
        <f t="shared" si="3"/>
        <v>33.94</v>
      </c>
      <c r="J12" s="1" t="s">
        <v>6</v>
      </c>
    </row>
    <row r="13" spans="1:10" x14ac:dyDescent="0.25">
      <c r="A13" s="1">
        <f t="shared" si="2"/>
        <v>10</v>
      </c>
      <c r="B13" s="5">
        <v>46149</v>
      </c>
      <c r="C13" s="3" t="s">
        <v>75</v>
      </c>
      <c r="D13" s="13">
        <v>0.09</v>
      </c>
      <c r="E13" s="1">
        <v>1.66</v>
      </c>
      <c r="F13" s="1">
        <f>SUM(Table1[[#This Row],[Pickup KM]:[Drop KM]])</f>
        <v>1.75</v>
      </c>
      <c r="G13" s="1">
        <v>33</v>
      </c>
      <c r="H13" s="1">
        <v>3.82</v>
      </c>
      <c r="I13" s="1">
        <f t="shared" si="3"/>
        <v>29.18</v>
      </c>
      <c r="J13" s="1" t="s">
        <v>6</v>
      </c>
    </row>
    <row r="14" spans="1:10" x14ac:dyDescent="0.25">
      <c r="A14" s="1">
        <f t="shared" si="2"/>
        <v>11</v>
      </c>
      <c r="B14" s="5">
        <v>46149</v>
      </c>
      <c r="C14" s="3" t="s">
        <v>76</v>
      </c>
      <c r="D14" s="13">
        <v>0.95</v>
      </c>
      <c r="E14" s="1">
        <v>2.93</v>
      </c>
      <c r="F14" s="1">
        <f>SUM(Table1[[#This Row],[Pickup KM]:[Drop KM]])</f>
        <v>3.88</v>
      </c>
      <c r="G14" s="1">
        <v>31</v>
      </c>
      <c r="H14" s="1">
        <v>3.72</v>
      </c>
      <c r="I14" s="1">
        <f t="shared" si="3"/>
        <v>27.28</v>
      </c>
      <c r="J14" s="1" t="s">
        <v>6</v>
      </c>
    </row>
    <row r="15" spans="1:10" x14ac:dyDescent="0.25">
      <c r="A15" s="1">
        <f t="shared" si="2"/>
        <v>12</v>
      </c>
      <c r="B15" s="5">
        <v>46149</v>
      </c>
      <c r="C15" s="3" t="s">
        <v>77</v>
      </c>
      <c r="D15" s="13">
        <v>0</v>
      </c>
      <c r="E15" s="1">
        <v>2.46</v>
      </c>
      <c r="F15" s="1">
        <f>SUM(Table1[[#This Row],[Pickup KM]:[Drop KM]])</f>
        <v>2.46</v>
      </c>
      <c r="G15" s="1">
        <v>27</v>
      </c>
      <c r="H15" s="1">
        <v>3.53</v>
      </c>
      <c r="I15" s="1">
        <f t="shared" si="3"/>
        <v>23.47</v>
      </c>
      <c r="J15" s="1" t="s">
        <v>6</v>
      </c>
    </row>
    <row r="16" spans="1:10" x14ac:dyDescent="0.25">
      <c r="A16" s="1">
        <f t="shared" si="2"/>
        <v>13</v>
      </c>
      <c r="B16" s="5">
        <v>46149</v>
      </c>
      <c r="C16" s="3" t="s">
        <v>78</v>
      </c>
      <c r="D16" s="13">
        <v>0.46</v>
      </c>
      <c r="E16" s="1">
        <v>3.35</v>
      </c>
      <c r="F16" s="1">
        <f>SUM(Table1[[#This Row],[Pickup KM]:[Drop KM]])</f>
        <v>3.81</v>
      </c>
      <c r="G16" s="1">
        <v>36</v>
      </c>
      <c r="H16" s="1">
        <v>3.96</v>
      </c>
      <c r="I16" s="1">
        <f t="shared" si="3"/>
        <v>32.04</v>
      </c>
      <c r="J16" s="1" t="s">
        <v>6</v>
      </c>
    </row>
    <row r="17" spans="1:10" x14ac:dyDescent="0.25">
      <c r="A17" s="1">
        <f t="shared" si="2"/>
        <v>14</v>
      </c>
      <c r="B17" s="5">
        <v>46149</v>
      </c>
      <c r="C17" s="3" t="s">
        <v>79</v>
      </c>
      <c r="D17" s="13">
        <v>0.7</v>
      </c>
      <c r="E17" s="1">
        <v>6.12</v>
      </c>
      <c r="F17" s="1">
        <f>SUM(Table1[[#This Row],[Pickup KM]:[Drop KM]])</f>
        <v>6.82</v>
      </c>
      <c r="G17" s="1">
        <v>63</v>
      </c>
      <c r="H17" s="1">
        <v>5.25</v>
      </c>
      <c r="I17" s="1">
        <f t="shared" si="3"/>
        <v>57.75</v>
      </c>
      <c r="J17" s="1" t="s">
        <v>6</v>
      </c>
    </row>
    <row r="18" spans="1:10" x14ac:dyDescent="0.25">
      <c r="A18" s="1">
        <f t="shared" si="2"/>
        <v>15</v>
      </c>
      <c r="B18" s="5">
        <v>46149</v>
      </c>
      <c r="C18" s="3" t="s">
        <v>80</v>
      </c>
      <c r="D18" s="13">
        <v>0.2</v>
      </c>
      <c r="E18" s="1">
        <v>4.5599999999999996</v>
      </c>
      <c r="F18" s="1">
        <f>SUM(Table1[[#This Row],[Pickup KM]:[Drop KM]])</f>
        <v>4.76</v>
      </c>
      <c r="G18" s="1">
        <v>45</v>
      </c>
      <c r="H18" s="1">
        <v>4.3899999999999997</v>
      </c>
      <c r="I18" s="1">
        <f t="shared" si="3"/>
        <v>40.61</v>
      </c>
      <c r="J18" s="1" t="s">
        <v>6</v>
      </c>
    </row>
    <row r="19" spans="1:10" x14ac:dyDescent="0.25">
      <c r="A19" s="1">
        <f t="shared" si="2"/>
        <v>16</v>
      </c>
      <c r="B19" s="5">
        <v>46150</v>
      </c>
      <c r="C19" s="3" t="s">
        <v>81</v>
      </c>
      <c r="D19" s="13">
        <v>1.34</v>
      </c>
      <c r="E19" s="1">
        <v>2.7</v>
      </c>
      <c r="F19" s="1">
        <f>SUM(Table1[[#This Row],[Pickup KM]:[Drop KM]])</f>
        <v>4.04</v>
      </c>
      <c r="G19" s="1">
        <v>30</v>
      </c>
      <c r="H19" s="1">
        <v>3.68</v>
      </c>
      <c r="I19" s="1">
        <f t="shared" si="3"/>
        <v>26.32</v>
      </c>
      <c r="J19" s="1" t="s">
        <v>6</v>
      </c>
    </row>
    <row r="20" spans="1:10" x14ac:dyDescent="0.25">
      <c r="A20" s="1">
        <f t="shared" ref="A20:A34" si="4">IF($B$4=" ", " ", ROW()-3)</f>
        <v>17</v>
      </c>
      <c r="B20" s="5">
        <v>46150</v>
      </c>
      <c r="C20" s="3" t="s">
        <v>82</v>
      </c>
      <c r="D20" s="13">
        <v>1.1200000000000001</v>
      </c>
      <c r="E20" s="1">
        <v>2.7</v>
      </c>
      <c r="F20" s="1">
        <f>SUM(Table1[[#This Row],[Pickup KM]:[Drop KM]])</f>
        <v>3.8200000000000003</v>
      </c>
      <c r="G20" s="1">
        <v>28</v>
      </c>
      <c r="H20" s="1">
        <v>3.58</v>
      </c>
      <c r="I20" s="1">
        <f t="shared" ref="I20:I34" si="5">G20-H20</f>
        <v>24.42</v>
      </c>
      <c r="J20" s="1" t="s">
        <v>6</v>
      </c>
    </row>
    <row r="21" spans="1:10" x14ac:dyDescent="0.25">
      <c r="A21" s="1">
        <f t="shared" si="4"/>
        <v>18</v>
      </c>
      <c r="B21" s="5">
        <v>46150</v>
      </c>
      <c r="C21" s="3" t="s">
        <v>83</v>
      </c>
      <c r="D21" s="13">
        <v>0.87</v>
      </c>
      <c r="E21" s="1">
        <v>1.7</v>
      </c>
      <c r="F21" s="1">
        <f>SUM(Table1[[#This Row],[Pickup KM]:[Drop KM]])</f>
        <v>2.57</v>
      </c>
      <c r="G21" s="1">
        <v>34</v>
      </c>
      <c r="H21" s="1">
        <v>3.87</v>
      </c>
      <c r="I21" s="1">
        <f t="shared" si="5"/>
        <v>30.13</v>
      </c>
      <c r="J21" s="1" t="s">
        <v>6</v>
      </c>
    </row>
    <row r="22" spans="1:10" x14ac:dyDescent="0.25">
      <c r="A22" s="1">
        <f t="shared" si="4"/>
        <v>19</v>
      </c>
      <c r="B22" s="5">
        <v>46150</v>
      </c>
      <c r="C22" s="3" t="s">
        <v>84</v>
      </c>
      <c r="D22" s="13">
        <v>0.8</v>
      </c>
      <c r="E22" s="1">
        <v>3.93</v>
      </c>
      <c r="F22" s="1">
        <f>SUM(Table1[[#This Row],[Pickup KM]:[Drop KM]])</f>
        <v>4.7300000000000004</v>
      </c>
      <c r="G22" s="1">
        <v>41</v>
      </c>
      <c r="H22" s="1">
        <v>4.2</v>
      </c>
      <c r="I22" s="1">
        <f t="shared" si="5"/>
        <v>36.799999999999997</v>
      </c>
      <c r="J22" s="1" t="s">
        <v>6</v>
      </c>
    </row>
    <row r="23" spans="1:10" x14ac:dyDescent="0.25">
      <c r="A23" s="1">
        <f t="shared" si="4"/>
        <v>20</v>
      </c>
      <c r="B23" s="5">
        <v>46150</v>
      </c>
      <c r="C23" s="3" t="s">
        <v>85</v>
      </c>
      <c r="D23" s="13">
        <v>0.51</v>
      </c>
      <c r="E23" s="1">
        <v>3.46</v>
      </c>
      <c r="F23" s="1">
        <f>SUM(Table1[[#This Row],[Pickup KM]:[Drop KM]])</f>
        <v>3.9699999999999998</v>
      </c>
      <c r="G23" s="1">
        <v>39</v>
      </c>
      <c r="H23" s="1">
        <v>4.0999999999999996</v>
      </c>
      <c r="I23" s="1">
        <f t="shared" si="5"/>
        <v>34.9</v>
      </c>
      <c r="J23" s="1" t="s">
        <v>6</v>
      </c>
    </row>
    <row r="24" spans="1:10" x14ac:dyDescent="0.25">
      <c r="A24" s="1">
        <f t="shared" si="4"/>
        <v>21</v>
      </c>
      <c r="B24" s="5">
        <v>46150</v>
      </c>
      <c r="C24" s="3" t="s">
        <v>86</v>
      </c>
      <c r="D24" s="13">
        <v>1.17</v>
      </c>
      <c r="E24" s="1">
        <v>2.76</v>
      </c>
      <c r="F24" s="1">
        <f>SUM(Table1[[#This Row],[Pickup KM]:[Drop KM]])</f>
        <v>3.9299999999999997</v>
      </c>
      <c r="G24" s="1">
        <v>34</v>
      </c>
      <c r="H24" s="1">
        <v>3.87</v>
      </c>
      <c r="I24" s="1">
        <f t="shared" si="5"/>
        <v>30.13</v>
      </c>
      <c r="J24" s="1" t="s">
        <v>6</v>
      </c>
    </row>
    <row r="25" spans="1:10" x14ac:dyDescent="0.25">
      <c r="A25" s="1">
        <f t="shared" si="4"/>
        <v>22</v>
      </c>
      <c r="B25" s="5">
        <v>46150</v>
      </c>
      <c r="C25" s="3" t="s">
        <v>87</v>
      </c>
      <c r="D25" s="13">
        <v>1.1000000000000001</v>
      </c>
      <c r="E25" s="1">
        <v>11.46</v>
      </c>
      <c r="F25" s="1">
        <f>SUM(Table1[[#This Row],[Pickup KM]:[Drop KM]])</f>
        <v>12.56</v>
      </c>
      <c r="G25" s="1">
        <v>103</v>
      </c>
      <c r="H25" s="1">
        <v>7.15</v>
      </c>
      <c r="I25" s="1">
        <f t="shared" si="5"/>
        <v>95.85</v>
      </c>
      <c r="J25" s="1" t="s">
        <v>6</v>
      </c>
    </row>
    <row r="26" spans="1:10" x14ac:dyDescent="0.25">
      <c r="A26" s="1">
        <f t="shared" si="4"/>
        <v>23</v>
      </c>
      <c r="B26" s="5">
        <v>46150</v>
      </c>
      <c r="C26" s="3" t="s">
        <v>88</v>
      </c>
      <c r="D26" s="13">
        <v>0.56999999999999995</v>
      </c>
      <c r="E26" s="1">
        <v>5.47</v>
      </c>
      <c r="F26" s="1">
        <f>SUM(Table1[[#This Row],[Pickup KM]:[Drop KM]])</f>
        <v>6.04</v>
      </c>
      <c r="G26" s="1">
        <v>58</v>
      </c>
      <c r="H26" s="1">
        <v>5.01</v>
      </c>
      <c r="I26" s="1">
        <f t="shared" si="5"/>
        <v>52.99</v>
      </c>
      <c r="J26" s="1" t="s">
        <v>6</v>
      </c>
    </row>
    <row r="27" spans="1:10" x14ac:dyDescent="0.25">
      <c r="A27" s="1">
        <f t="shared" si="4"/>
        <v>24</v>
      </c>
      <c r="B27" s="5">
        <v>46150</v>
      </c>
      <c r="C27" s="3" t="s">
        <v>89</v>
      </c>
      <c r="D27" s="13">
        <v>2.08</v>
      </c>
      <c r="E27" s="1">
        <v>7.61</v>
      </c>
      <c r="F27" s="1">
        <f>SUM(Table1[[#This Row],[Pickup KM]:[Drop KM]])</f>
        <v>9.6900000000000013</v>
      </c>
      <c r="G27" s="1">
        <v>97</v>
      </c>
      <c r="H27" s="1">
        <v>6.87</v>
      </c>
      <c r="I27" s="1">
        <f t="shared" si="5"/>
        <v>90.13</v>
      </c>
      <c r="J27" s="1" t="s">
        <v>6</v>
      </c>
    </row>
    <row r="28" spans="1:10" x14ac:dyDescent="0.25">
      <c r="A28" s="1">
        <f t="shared" si="4"/>
        <v>25</v>
      </c>
      <c r="B28" s="5">
        <v>46150</v>
      </c>
      <c r="C28" s="3" t="s">
        <v>90</v>
      </c>
      <c r="D28" s="13">
        <v>1.62</v>
      </c>
      <c r="E28" s="1">
        <v>3.87</v>
      </c>
      <c r="F28" s="1">
        <f>SUM(Table1[[#This Row],[Pickup KM]:[Drop KM]])</f>
        <v>5.49</v>
      </c>
      <c r="G28" s="1">
        <v>53</v>
      </c>
      <c r="H28" s="1">
        <v>4.7699999999999996</v>
      </c>
      <c r="I28" s="1">
        <f t="shared" si="5"/>
        <v>48.230000000000004</v>
      </c>
      <c r="J28" s="1" t="s">
        <v>6</v>
      </c>
    </row>
    <row r="29" spans="1:10" x14ac:dyDescent="0.25">
      <c r="A29" s="1">
        <f t="shared" si="4"/>
        <v>26</v>
      </c>
      <c r="B29" s="5">
        <v>46150</v>
      </c>
      <c r="C29" s="3" t="s">
        <v>91</v>
      </c>
      <c r="D29" s="13">
        <v>1.69</v>
      </c>
      <c r="E29" s="1">
        <v>4.82</v>
      </c>
      <c r="F29" s="1">
        <f>SUM(Table1[[#This Row],[Pickup KM]:[Drop KM]])</f>
        <v>6.51</v>
      </c>
      <c r="G29" s="1">
        <v>52</v>
      </c>
      <c r="H29" s="1">
        <v>4.72</v>
      </c>
      <c r="I29" s="1">
        <f t="shared" si="5"/>
        <v>47.28</v>
      </c>
      <c r="J29" s="1" t="s">
        <v>6</v>
      </c>
    </row>
    <row r="30" spans="1:10" x14ac:dyDescent="0.25">
      <c r="A30" s="1">
        <f t="shared" si="4"/>
        <v>27</v>
      </c>
      <c r="B30" s="5">
        <v>46150</v>
      </c>
      <c r="C30" s="3" t="s">
        <v>92</v>
      </c>
      <c r="D30" s="13">
        <v>0.7</v>
      </c>
      <c r="E30" s="1">
        <v>2.61</v>
      </c>
      <c r="F30" s="1">
        <f>SUM(Table1[[#This Row],[Pickup KM]:[Drop KM]])</f>
        <v>3.3099999999999996</v>
      </c>
      <c r="G30" s="1">
        <v>33</v>
      </c>
      <c r="H30" s="1">
        <v>3.82</v>
      </c>
      <c r="I30" s="1">
        <f t="shared" si="5"/>
        <v>29.18</v>
      </c>
      <c r="J30" s="1" t="s">
        <v>6</v>
      </c>
    </row>
    <row r="31" spans="1:10" x14ac:dyDescent="0.25">
      <c r="A31" s="1">
        <f t="shared" si="4"/>
        <v>28</v>
      </c>
      <c r="B31" s="5">
        <v>46150</v>
      </c>
      <c r="C31" s="3" t="s">
        <v>93</v>
      </c>
      <c r="D31" s="13">
        <v>2.11</v>
      </c>
      <c r="E31" s="1">
        <v>3.02</v>
      </c>
      <c r="F31" s="1">
        <f>SUM(Table1[[#This Row],[Pickup KM]:[Drop KM]])</f>
        <v>5.13</v>
      </c>
      <c r="G31" s="1">
        <v>38</v>
      </c>
      <c r="H31" s="1">
        <v>4.0599999999999996</v>
      </c>
      <c r="I31" s="1">
        <f t="shared" si="5"/>
        <v>33.94</v>
      </c>
      <c r="J31" s="1" t="s">
        <v>6</v>
      </c>
    </row>
    <row r="32" spans="1:10" x14ac:dyDescent="0.25">
      <c r="A32" s="1">
        <f t="shared" si="4"/>
        <v>29</v>
      </c>
      <c r="B32" s="5">
        <v>46150</v>
      </c>
      <c r="C32" s="3" t="s">
        <v>94</v>
      </c>
      <c r="D32" s="13">
        <v>0.37</v>
      </c>
      <c r="E32" s="1">
        <v>2.4500000000000002</v>
      </c>
      <c r="F32" s="1">
        <f>SUM(Table1[[#This Row],[Pickup KM]:[Drop KM]])</f>
        <v>2.8200000000000003</v>
      </c>
      <c r="G32" s="1">
        <v>27</v>
      </c>
      <c r="H32" s="1">
        <v>3.53</v>
      </c>
      <c r="I32" s="1">
        <f t="shared" si="5"/>
        <v>23.47</v>
      </c>
      <c r="J32" s="1" t="s">
        <v>6</v>
      </c>
    </row>
    <row r="33" spans="1:10" hidden="1" x14ac:dyDescent="0.25">
      <c r="A33" s="1">
        <f t="shared" si="4"/>
        <v>30</v>
      </c>
      <c r="B33" s="5">
        <v>46150</v>
      </c>
      <c r="C33" s="3" t="s">
        <v>8</v>
      </c>
      <c r="D33" s="13">
        <v>1.91</v>
      </c>
      <c r="E33" s="1">
        <v>4.51</v>
      </c>
      <c r="F33" s="1">
        <f>SUM(Table1[[#This Row],[Pickup KM]:[Drop KM]])</f>
        <v>6.42</v>
      </c>
      <c r="G33" s="1">
        <v>101</v>
      </c>
      <c r="H33" s="1">
        <v>4.96</v>
      </c>
      <c r="I33" s="1">
        <f t="shared" si="5"/>
        <v>96.04</v>
      </c>
      <c r="J33" s="1" t="s">
        <v>7</v>
      </c>
    </row>
    <row r="34" spans="1:10" x14ac:dyDescent="0.25">
      <c r="A34" s="1">
        <f t="shared" si="4"/>
        <v>31</v>
      </c>
      <c r="B34" s="5">
        <v>46151</v>
      </c>
      <c r="C34" s="3" t="s">
        <v>95</v>
      </c>
      <c r="D34" s="13">
        <v>0.65</v>
      </c>
      <c r="E34" s="1">
        <v>5.46</v>
      </c>
      <c r="F34" s="1">
        <f>SUM(Table1[[#This Row],[Pickup KM]:[Drop KM]])</f>
        <v>6.11</v>
      </c>
      <c r="G34" s="1">
        <v>63</v>
      </c>
      <c r="H34" s="1">
        <v>5.25</v>
      </c>
      <c r="I34" s="1">
        <f t="shared" si="5"/>
        <v>57.75</v>
      </c>
      <c r="J34" s="1" t="s">
        <v>6</v>
      </c>
    </row>
    <row r="35" spans="1:10" x14ac:dyDescent="0.25">
      <c r="A35" s="1">
        <f t="shared" ref="A35:A42" si="6">IF($B$4=" ", " ", ROW()-3)</f>
        <v>32</v>
      </c>
      <c r="B35" s="5">
        <v>46151</v>
      </c>
      <c r="C35" s="3" t="s">
        <v>96</v>
      </c>
      <c r="D35" s="13">
        <v>1.47</v>
      </c>
      <c r="E35" s="1">
        <v>2.58</v>
      </c>
      <c r="F35" s="1">
        <f>SUM(Table1[[#This Row],[Pickup KM]:[Drop KM]])</f>
        <v>4.05</v>
      </c>
      <c r="G35" s="1">
        <v>31</v>
      </c>
      <c r="H35" s="1">
        <v>3.72</v>
      </c>
      <c r="I35" s="1">
        <f t="shared" ref="I35:I42" si="7">G35-H35</f>
        <v>27.28</v>
      </c>
      <c r="J35" s="1" t="s">
        <v>6</v>
      </c>
    </row>
    <row r="36" spans="1:10" x14ac:dyDescent="0.25">
      <c r="A36" s="1">
        <f t="shared" si="6"/>
        <v>33</v>
      </c>
      <c r="B36" s="5">
        <v>46151</v>
      </c>
      <c r="C36" s="3" t="s">
        <v>97</v>
      </c>
      <c r="D36" s="13">
        <v>1.84</v>
      </c>
      <c r="E36" s="1">
        <v>3.99</v>
      </c>
      <c r="F36" s="1">
        <f>SUM(Table1[[#This Row],[Pickup KM]:[Drop KM]])</f>
        <v>5.83</v>
      </c>
      <c r="G36" s="1">
        <v>39</v>
      </c>
      <c r="H36" s="1">
        <v>4.0999999999999996</v>
      </c>
      <c r="I36" s="1">
        <f t="shared" si="7"/>
        <v>34.9</v>
      </c>
      <c r="J36" s="1" t="s">
        <v>6</v>
      </c>
    </row>
    <row r="37" spans="1:10" hidden="1" x14ac:dyDescent="0.25">
      <c r="A37" s="1">
        <f t="shared" si="6"/>
        <v>34</v>
      </c>
      <c r="B37" s="5">
        <v>46151</v>
      </c>
      <c r="C37" s="3" t="s">
        <v>19</v>
      </c>
      <c r="D37" s="13">
        <v>0.41</v>
      </c>
      <c r="E37" s="1">
        <v>3.36</v>
      </c>
      <c r="F37" s="1">
        <f>SUM(Table1[[#This Row],[Pickup KM]:[Drop KM]])</f>
        <v>3.77</v>
      </c>
      <c r="G37" s="1">
        <v>36</v>
      </c>
      <c r="H37" s="1">
        <v>3.96</v>
      </c>
      <c r="I37" s="1">
        <f t="shared" si="7"/>
        <v>32.04</v>
      </c>
      <c r="J37" s="1" t="s">
        <v>7</v>
      </c>
    </row>
    <row r="38" spans="1:10" hidden="1" x14ac:dyDescent="0.25">
      <c r="A38" s="1">
        <f t="shared" si="6"/>
        <v>35</v>
      </c>
      <c r="B38" s="5">
        <v>46151</v>
      </c>
      <c r="C38" s="3" t="s">
        <v>20</v>
      </c>
      <c r="D38" s="13">
        <v>1.1399999999999999</v>
      </c>
      <c r="E38" s="1">
        <v>2.74</v>
      </c>
      <c r="F38" s="1">
        <f>SUM(Table1[[#This Row],[Pickup KM]:[Drop KM]])</f>
        <v>3.88</v>
      </c>
      <c r="G38" s="1">
        <v>31</v>
      </c>
      <c r="H38" s="1">
        <v>3.72</v>
      </c>
      <c r="I38" s="1">
        <f t="shared" si="7"/>
        <v>27.28</v>
      </c>
      <c r="J38" s="1" t="s">
        <v>7</v>
      </c>
    </row>
    <row r="39" spans="1:10" x14ac:dyDescent="0.25">
      <c r="A39" s="1">
        <f t="shared" si="6"/>
        <v>36</v>
      </c>
      <c r="B39" s="5">
        <v>46151</v>
      </c>
      <c r="C39" s="3" t="s">
        <v>98</v>
      </c>
      <c r="D39" s="13">
        <v>0.26</v>
      </c>
      <c r="E39" s="1">
        <v>2.58</v>
      </c>
      <c r="F39" s="1">
        <f>SUM(Table1[[#This Row],[Pickup KM]:[Drop KM]])</f>
        <v>2.84</v>
      </c>
      <c r="G39" s="1">
        <v>37</v>
      </c>
      <c r="H39" s="1">
        <v>4.01</v>
      </c>
      <c r="I39" s="1">
        <f t="shared" si="7"/>
        <v>32.99</v>
      </c>
      <c r="J39" s="1" t="s">
        <v>6</v>
      </c>
    </row>
    <row r="40" spans="1:10" x14ac:dyDescent="0.25">
      <c r="A40" s="1">
        <f t="shared" si="6"/>
        <v>37</v>
      </c>
      <c r="B40" s="5">
        <v>46151</v>
      </c>
      <c r="C40" s="3" t="s">
        <v>99</v>
      </c>
      <c r="D40" s="13">
        <v>1.24</v>
      </c>
      <c r="E40" s="1">
        <v>1.6</v>
      </c>
      <c r="F40" s="1">
        <f>SUM(Table1[[#This Row],[Pickup KM]:[Drop KM]])</f>
        <v>2.84</v>
      </c>
      <c r="G40" s="1">
        <v>38</v>
      </c>
      <c r="H40" s="1">
        <v>4.0599999999999996</v>
      </c>
      <c r="I40" s="1">
        <f t="shared" si="7"/>
        <v>33.94</v>
      </c>
      <c r="J40" s="1" t="s">
        <v>6</v>
      </c>
    </row>
    <row r="41" spans="1:10" x14ac:dyDescent="0.25">
      <c r="A41" s="1">
        <f t="shared" si="6"/>
        <v>38</v>
      </c>
      <c r="B41" s="5">
        <v>46151</v>
      </c>
      <c r="C41" s="3" t="s">
        <v>100</v>
      </c>
      <c r="D41" s="13">
        <v>0.96</v>
      </c>
      <c r="E41" s="1">
        <v>2.31</v>
      </c>
      <c r="F41" s="1">
        <f>SUM(Table1[[#This Row],[Pickup KM]:[Drop KM]])</f>
        <v>3.27</v>
      </c>
      <c r="G41" s="1">
        <v>39</v>
      </c>
      <c r="H41" s="1">
        <v>4.0999999999999996</v>
      </c>
      <c r="I41" s="1">
        <f t="shared" si="7"/>
        <v>34.9</v>
      </c>
      <c r="J41" s="1" t="s">
        <v>6</v>
      </c>
    </row>
    <row r="42" spans="1:10" x14ac:dyDescent="0.25">
      <c r="A42" s="1">
        <f t="shared" si="6"/>
        <v>39</v>
      </c>
      <c r="B42" s="5">
        <v>46151</v>
      </c>
      <c r="C42" s="3" t="s">
        <v>101</v>
      </c>
      <c r="D42" s="13">
        <v>2.3199999999999998</v>
      </c>
      <c r="E42" s="1">
        <v>5.5</v>
      </c>
      <c r="F42" s="1">
        <f>SUM(Table1[[#This Row],[Pickup KM]:[Drop KM]])</f>
        <v>7.82</v>
      </c>
      <c r="G42" s="1">
        <v>72</v>
      </c>
      <c r="H42" s="1">
        <v>5.68</v>
      </c>
      <c r="I42" s="1">
        <f t="shared" si="7"/>
        <v>66.319999999999993</v>
      </c>
      <c r="J42" s="1" t="s">
        <v>6</v>
      </c>
    </row>
    <row r="43" spans="1:10" x14ac:dyDescent="0.25">
      <c r="A43" s="1">
        <f t="shared" ref="A43:A74" si="8">IF($B$4=" ", " ", ROW()-3)</f>
        <v>40</v>
      </c>
      <c r="B43" s="5">
        <v>46153</v>
      </c>
      <c r="C43" s="3" t="s">
        <v>102</v>
      </c>
      <c r="D43" s="13">
        <v>2.98</v>
      </c>
      <c r="E43" s="1">
        <v>8.32</v>
      </c>
      <c r="F43" s="1">
        <f>SUM(Table1[[#This Row],[Pickup KM]:[Drop KM]])</f>
        <v>11.3</v>
      </c>
      <c r="G43" s="1">
        <v>93</v>
      </c>
      <c r="H43" s="1">
        <v>6.68</v>
      </c>
      <c r="I43" s="1">
        <f t="shared" ref="I43:I74" si="9">G43-H43</f>
        <v>86.32</v>
      </c>
      <c r="J43" s="1" t="s">
        <v>6</v>
      </c>
    </row>
    <row r="44" spans="1:10" hidden="1" x14ac:dyDescent="0.25">
      <c r="A44" s="1">
        <f t="shared" si="8"/>
        <v>41</v>
      </c>
      <c r="B44" s="5">
        <v>46153</v>
      </c>
      <c r="C44" s="3" t="s">
        <v>22</v>
      </c>
      <c r="D44" s="13">
        <v>0.43</v>
      </c>
      <c r="E44" s="1">
        <v>1.54</v>
      </c>
      <c r="F44" s="1">
        <f>SUM(Table1[[#This Row],[Pickup KM]:[Drop KM]])</f>
        <v>1.97</v>
      </c>
      <c r="G44" s="1">
        <v>28</v>
      </c>
      <c r="H44" s="1">
        <v>3.58</v>
      </c>
      <c r="I44" s="1">
        <f t="shared" si="9"/>
        <v>24.42</v>
      </c>
      <c r="J44" s="1" t="s">
        <v>7</v>
      </c>
    </row>
    <row r="45" spans="1:10" hidden="1" x14ac:dyDescent="0.25">
      <c r="A45" s="1">
        <f t="shared" si="8"/>
        <v>42</v>
      </c>
      <c r="B45" s="5">
        <v>46153</v>
      </c>
      <c r="C45" s="3" t="s">
        <v>23</v>
      </c>
      <c r="D45" s="13">
        <v>0.63</v>
      </c>
      <c r="E45" s="1">
        <v>2.54</v>
      </c>
      <c r="F45" s="1">
        <f>SUM(Table1[[#This Row],[Pickup KM]:[Drop KM]])</f>
        <v>3.17</v>
      </c>
      <c r="G45" s="1">
        <v>32</v>
      </c>
      <c r="H45" s="1">
        <v>3.77</v>
      </c>
      <c r="I45" s="1">
        <f t="shared" si="9"/>
        <v>28.23</v>
      </c>
      <c r="J45" s="1" t="s">
        <v>7</v>
      </c>
    </row>
    <row r="46" spans="1:10" x14ac:dyDescent="0.25">
      <c r="A46" s="1">
        <f t="shared" si="8"/>
        <v>43</v>
      </c>
      <c r="B46" s="5">
        <v>46153</v>
      </c>
      <c r="C46" s="3" t="s">
        <v>103</v>
      </c>
      <c r="D46" s="13">
        <v>1.82</v>
      </c>
      <c r="E46" s="1">
        <v>6.48</v>
      </c>
      <c r="F46" s="1">
        <f>SUM(Table1[[#This Row],[Pickup KM]:[Drop KM]])</f>
        <v>8.3000000000000007</v>
      </c>
      <c r="G46" s="1">
        <v>78</v>
      </c>
      <c r="H46" s="1">
        <v>5.96</v>
      </c>
      <c r="I46" s="1">
        <f t="shared" si="9"/>
        <v>72.040000000000006</v>
      </c>
      <c r="J46" s="1" t="s">
        <v>6</v>
      </c>
    </row>
    <row r="47" spans="1:10" x14ac:dyDescent="0.25">
      <c r="A47" s="1">
        <f t="shared" si="8"/>
        <v>44</v>
      </c>
      <c r="B47" s="5">
        <v>46153</v>
      </c>
      <c r="C47" s="3" t="s">
        <v>104</v>
      </c>
      <c r="D47" s="13">
        <v>1.61</v>
      </c>
      <c r="E47" s="1">
        <v>1.57</v>
      </c>
      <c r="F47" s="1">
        <f>SUM(Table1[[#This Row],[Pickup KM]:[Drop KM]])</f>
        <v>3.18</v>
      </c>
      <c r="G47" s="1">
        <v>31</v>
      </c>
      <c r="H47" s="1">
        <v>3.72</v>
      </c>
      <c r="I47" s="1">
        <f t="shared" si="9"/>
        <v>27.28</v>
      </c>
      <c r="J47" s="1" t="s">
        <v>6</v>
      </c>
    </row>
    <row r="48" spans="1:10" x14ac:dyDescent="0.25">
      <c r="A48" s="1">
        <f t="shared" si="8"/>
        <v>45</v>
      </c>
      <c r="B48" s="5">
        <v>46153</v>
      </c>
      <c r="C48" s="3" t="s">
        <v>105</v>
      </c>
      <c r="D48" s="13">
        <v>1.79</v>
      </c>
      <c r="E48" s="1">
        <v>5.6</v>
      </c>
      <c r="F48" s="1">
        <f>SUM(Table1[[#This Row],[Pickup KM]:[Drop KM]])</f>
        <v>7.39</v>
      </c>
      <c r="G48" s="1">
        <v>57</v>
      </c>
      <c r="H48" s="1">
        <v>4.96</v>
      </c>
      <c r="I48" s="1">
        <f t="shared" si="9"/>
        <v>52.04</v>
      </c>
      <c r="J48" s="1" t="s">
        <v>6</v>
      </c>
    </row>
    <row r="49" spans="1:10" hidden="1" x14ac:dyDescent="0.25">
      <c r="A49" s="1">
        <f t="shared" si="8"/>
        <v>46</v>
      </c>
      <c r="B49" s="5">
        <v>46153</v>
      </c>
      <c r="C49" s="3" t="s">
        <v>24</v>
      </c>
      <c r="D49" s="13">
        <v>0.72</v>
      </c>
      <c r="E49" s="1">
        <v>4.28</v>
      </c>
      <c r="F49" s="1">
        <f>SUM(Table1[[#This Row],[Pickup KM]:[Drop KM]])</f>
        <v>5</v>
      </c>
      <c r="G49" s="1">
        <v>63</v>
      </c>
      <c r="H49" s="1">
        <v>5.25</v>
      </c>
      <c r="I49" s="1">
        <f t="shared" si="9"/>
        <v>57.75</v>
      </c>
      <c r="J49" s="1" t="s">
        <v>7</v>
      </c>
    </row>
    <row r="50" spans="1:10" x14ac:dyDescent="0.25">
      <c r="A50" s="1">
        <f t="shared" si="8"/>
        <v>47</v>
      </c>
      <c r="B50" s="5">
        <v>46153</v>
      </c>
      <c r="C50" s="3" t="s">
        <v>106</v>
      </c>
      <c r="D50" s="13">
        <v>2.17</v>
      </c>
      <c r="E50" s="1">
        <v>12.87</v>
      </c>
      <c r="F50" s="1">
        <f>SUM(Table1[[#This Row],[Pickup KM]:[Drop KM]])</f>
        <v>15.04</v>
      </c>
      <c r="G50" s="1">
        <v>177</v>
      </c>
      <c r="H50" s="1">
        <v>10.68</v>
      </c>
      <c r="I50" s="1">
        <f t="shared" si="9"/>
        <v>166.32</v>
      </c>
      <c r="J50" s="1" t="s">
        <v>6</v>
      </c>
    </row>
    <row r="51" spans="1:10" x14ac:dyDescent="0.25">
      <c r="A51" s="1">
        <f t="shared" si="8"/>
        <v>48</v>
      </c>
      <c r="B51" s="5">
        <v>46153</v>
      </c>
      <c r="C51" s="3" t="s">
        <v>107</v>
      </c>
      <c r="D51" s="13">
        <v>1.52</v>
      </c>
      <c r="E51" s="1">
        <v>6.47</v>
      </c>
      <c r="F51" s="1">
        <f>SUM(Table1[[#This Row],[Pickup KM]:[Drop KM]])</f>
        <v>7.99</v>
      </c>
      <c r="G51" s="1">
        <v>63</v>
      </c>
      <c r="H51" s="1">
        <v>5.25</v>
      </c>
      <c r="I51" s="1">
        <f t="shared" si="9"/>
        <v>57.75</v>
      </c>
      <c r="J51" s="1" t="s">
        <v>6</v>
      </c>
    </row>
    <row r="52" spans="1:10" x14ac:dyDescent="0.25">
      <c r="A52" s="1">
        <f t="shared" si="8"/>
        <v>49</v>
      </c>
      <c r="B52" s="5">
        <v>46153</v>
      </c>
      <c r="C52" s="3" t="s">
        <v>108</v>
      </c>
      <c r="D52" s="13">
        <v>1.06</v>
      </c>
      <c r="E52" s="1">
        <v>6.11</v>
      </c>
      <c r="F52" s="1">
        <f>SUM(Table1[[#This Row],[Pickup KM]:[Drop KM]])</f>
        <v>7.17</v>
      </c>
      <c r="G52" s="1">
        <v>74</v>
      </c>
      <c r="H52" s="1">
        <v>5.77</v>
      </c>
      <c r="I52" s="1">
        <f t="shared" si="9"/>
        <v>68.23</v>
      </c>
      <c r="J52" s="1" t="s">
        <v>6</v>
      </c>
    </row>
    <row r="53" spans="1:10" x14ac:dyDescent="0.25">
      <c r="A53" s="1">
        <f t="shared" si="8"/>
        <v>50</v>
      </c>
      <c r="B53" s="5">
        <v>46153</v>
      </c>
      <c r="C53" s="3" t="s">
        <v>109</v>
      </c>
      <c r="D53" s="13">
        <v>0.03</v>
      </c>
      <c r="E53" s="1">
        <v>2.0699999999999998</v>
      </c>
      <c r="F53" s="1">
        <f>SUM(Table1[[#This Row],[Pickup KM]:[Drop KM]])</f>
        <v>2.0999999999999996</v>
      </c>
      <c r="G53" s="1">
        <v>31</v>
      </c>
      <c r="H53" s="1">
        <v>3.72</v>
      </c>
      <c r="I53" s="1">
        <f t="shared" si="9"/>
        <v>27.28</v>
      </c>
      <c r="J53" s="1" t="s">
        <v>6</v>
      </c>
    </row>
    <row r="54" spans="1:10" hidden="1" x14ac:dyDescent="0.25">
      <c r="A54" s="1">
        <f t="shared" si="8"/>
        <v>51</v>
      </c>
      <c r="B54" s="5">
        <v>46153</v>
      </c>
      <c r="C54" s="3" t="s">
        <v>25</v>
      </c>
      <c r="D54" s="13">
        <v>0.19</v>
      </c>
      <c r="E54" s="1">
        <v>11.92</v>
      </c>
      <c r="F54" s="1">
        <f>SUM(Table1[[#This Row],[Pickup KM]:[Drop KM]])</f>
        <v>12.11</v>
      </c>
      <c r="G54" s="1">
        <v>156</v>
      </c>
      <c r="H54" s="1">
        <v>9.68</v>
      </c>
      <c r="I54" s="1">
        <f t="shared" si="9"/>
        <v>146.32</v>
      </c>
      <c r="J54" s="1" t="s">
        <v>7</v>
      </c>
    </row>
    <row r="55" spans="1:10" x14ac:dyDescent="0.25">
      <c r="A55" s="1">
        <f t="shared" si="8"/>
        <v>52</v>
      </c>
      <c r="B55" s="5">
        <v>46156</v>
      </c>
      <c r="C55" s="3" t="s">
        <v>110</v>
      </c>
      <c r="D55" s="13">
        <v>0.22</v>
      </c>
      <c r="E55" s="1">
        <v>5.24</v>
      </c>
      <c r="F55" s="1">
        <f>SUM(Table1[[#This Row],[Pickup KM]:[Drop KM]])</f>
        <v>5.46</v>
      </c>
      <c r="G55" s="1">
        <v>49</v>
      </c>
      <c r="H55" s="1">
        <v>4.58</v>
      </c>
      <c r="I55" s="1">
        <f t="shared" si="9"/>
        <v>44.42</v>
      </c>
      <c r="J55" s="1" t="s">
        <v>6</v>
      </c>
    </row>
    <row r="56" spans="1:10" x14ac:dyDescent="0.25">
      <c r="A56" s="1">
        <f t="shared" si="8"/>
        <v>53</v>
      </c>
      <c r="B56" s="5">
        <v>46156</v>
      </c>
      <c r="C56" s="3" t="s">
        <v>111</v>
      </c>
      <c r="D56" s="13">
        <v>1.62</v>
      </c>
      <c r="E56" s="1">
        <v>3.3</v>
      </c>
      <c r="F56" s="1">
        <f>SUM(Table1[[#This Row],[Pickup KM]:[Drop KM]])</f>
        <v>4.92</v>
      </c>
      <c r="G56" s="1">
        <v>34</v>
      </c>
      <c r="H56" s="1">
        <v>3.87</v>
      </c>
      <c r="I56" s="1">
        <f t="shared" si="9"/>
        <v>30.13</v>
      </c>
      <c r="J56" s="1" t="s">
        <v>6</v>
      </c>
    </row>
    <row r="57" spans="1:10" x14ac:dyDescent="0.25">
      <c r="A57" s="1">
        <f t="shared" si="8"/>
        <v>54</v>
      </c>
      <c r="B57" s="5">
        <v>46156</v>
      </c>
      <c r="C57" s="3" t="s">
        <v>112</v>
      </c>
      <c r="D57" s="13">
        <v>0.77</v>
      </c>
      <c r="E57" s="1">
        <v>4.72</v>
      </c>
      <c r="F57" s="1">
        <f>SUM(Table1[[#This Row],[Pickup KM]:[Drop KM]])</f>
        <v>5.49</v>
      </c>
      <c r="G57" s="1">
        <v>56</v>
      </c>
      <c r="H57" s="1">
        <v>4.91</v>
      </c>
      <c r="I57" s="1">
        <f t="shared" si="9"/>
        <v>51.09</v>
      </c>
      <c r="J57" s="1" t="s">
        <v>6</v>
      </c>
    </row>
    <row r="58" spans="1:10" x14ac:dyDescent="0.25">
      <c r="A58" s="1">
        <f t="shared" si="8"/>
        <v>55</v>
      </c>
      <c r="B58" s="5">
        <v>46156</v>
      </c>
      <c r="C58" s="3" t="s">
        <v>113</v>
      </c>
      <c r="D58" s="13">
        <v>1.38</v>
      </c>
      <c r="E58" s="1">
        <v>2.0699999999999998</v>
      </c>
      <c r="F58" s="1">
        <f>SUM(Table1[[#This Row],[Pickup KM]:[Drop KM]])</f>
        <v>3.4499999999999997</v>
      </c>
      <c r="G58" s="1">
        <v>30</v>
      </c>
      <c r="H58" s="1">
        <v>3.68</v>
      </c>
      <c r="I58" s="1">
        <f t="shared" si="9"/>
        <v>26.32</v>
      </c>
      <c r="J58" s="1" t="s">
        <v>6</v>
      </c>
    </row>
    <row r="59" spans="1:10" x14ac:dyDescent="0.25">
      <c r="A59" s="1">
        <f t="shared" si="8"/>
        <v>56</v>
      </c>
      <c r="B59" s="5">
        <v>46156</v>
      </c>
      <c r="C59" s="3" t="s">
        <v>114</v>
      </c>
      <c r="D59" s="13">
        <v>1.48</v>
      </c>
      <c r="E59" s="1">
        <v>13.35</v>
      </c>
      <c r="F59" s="1">
        <f>SUM(Table1[[#This Row],[Pickup KM]:[Drop KM]])</f>
        <v>14.83</v>
      </c>
      <c r="G59" s="1">
        <v>151</v>
      </c>
      <c r="H59" s="1">
        <v>9.44</v>
      </c>
      <c r="I59" s="1">
        <f t="shared" si="9"/>
        <v>141.56</v>
      </c>
      <c r="J59" s="1" t="s">
        <v>6</v>
      </c>
    </row>
    <row r="60" spans="1:10" x14ac:dyDescent="0.25">
      <c r="A60" s="1">
        <f t="shared" si="8"/>
        <v>57</v>
      </c>
      <c r="B60" s="5">
        <v>46156</v>
      </c>
      <c r="C60" s="3" t="s">
        <v>115</v>
      </c>
      <c r="D60" s="13">
        <v>0.53</v>
      </c>
      <c r="E60" s="1">
        <v>11.93</v>
      </c>
      <c r="F60" s="1">
        <f>SUM(Table1[[#This Row],[Pickup KM]:[Drop KM]])</f>
        <v>12.459999999999999</v>
      </c>
      <c r="G60" s="1">
        <v>107</v>
      </c>
      <c r="H60" s="1">
        <v>7.34</v>
      </c>
      <c r="I60" s="1">
        <f t="shared" si="9"/>
        <v>99.66</v>
      </c>
      <c r="J60" s="1" t="s">
        <v>6</v>
      </c>
    </row>
    <row r="61" spans="1:10" x14ac:dyDescent="0.25">
      <c r="A61" s="1">
        <f t="shared" si="8"/>
        <v>58</v>
      </c>
      <c r="B61" s="5">
        <v>46156</v>
      </c>
      <c r="C61" s="3" t="s">
        <v>116</v>
      </c>
      <c r="D61" s="13">
        <v>0.52</v>
      </c>
      <c r="E61" s="1">
        <v>2.2400000000000002</v>
      </c>
      <c r="F61" s="1">
        <f>SUM(Table1[[#This Row],[Pickup KM]:[Drop KM]])</f>
        <v>2.7600000000000002</v>
      </c>
      <c r="G61" s="1">
        <v>34</v>
      </c>
      <c r="H61" s="1">
        <v>3.87</v>
      </c>
      <c r="I61" s="1">
        <f t="shared" si="9"/>
        <v>30.13</v>
      </c>
      <c r="J61" s="1" t="s">
        <v>6</v>
      </c>
    </row>
    <row r="62" spans="1:10" x14ac:dyDescent="0.25">
      <c r="A62" s="1">
        <f t="shared" si="8"/>
        <v>59</v>
      </c>
      <c r="B62" s="5">
        <v>46156</v>
      </c>
      <c r="C62" s="3" t="s">
        <v>117</v>
      </c>
      <c r="D62" s="13">
        <v>0.79</v>
      </c>
      <c r="E62" s="1">
        <v>4.3</v>
      </c>
      <c r="F62" s="1">
        <f>SUM(Table1[[#This Row],[Pickup KM]:[Drop KM]])</f>
        <v>5.09</v>
      </c>
      <c r="G62" s="1">
        <v>50</v>
      </c>
      <c r="H62" s="1">
        <v>4.63</v>
      </c>
      <c r="I62" s="1">
        <f t="shared" si="9"/>
        <v>45.37</v>
      </c>
      <c r="J62" s="1" t="s">
        <v>6</v>
      </c>
    </row>
    <row r="63" spans="1:10" x14ac:dyDescent="0.25">
      <c r="A63" s="1">
        <f t="shared" si="8"/>
        <v>60</v>
      </c>
      <c r="B63" s="5">
        <v>46156</v>
      </c>
      <c r="C63" s="3" t="s">
        <v>118</v>
      </c>
      <c r="D63" s="13">
        <v>1.58</v>
      </c>
      <c r="E63" s="1">
        <v>6.27</v>
      </c>
      <c r="F63" s="1">
        <f>SUM(Table1[[#This Row],[Pickup KM]:[Drop KM]])</f>
        <v>7.85</v>
      </c>
      <c r="G63" s="1">
        <v>70</v>
      </c>
      <c r="H63" s="1">
        <v>5.58</v>
      </c>
      <c r="I63" s="1">
        <f t="shared" si="9"/>
        <v>64.42</v>
      </c>
      <c r="J63" s="1" t="s">
        <v>6</v>
      </c>
    </row>
    <row r="64" spans="1:10" x14ac:dyDescent="0.25">
      <c r="A64" s="1">
        <f t="shared" si="8"/>
        <v>61</v>
      </c>
      <c r="B64" s="5">
        <v>46156</v>
      </c>
      <c r="C64" s="3" t="s">
        <v>119</v>
      </c>
      <c r="D64" s="13">
        <v>1.06</v>
      </c>
      <c r="E64" s="1">
        <v>2.74</v>
      </c>
      <c r="F64" s="1">
        <f>SUM(Table1[[#This Row],[Pickup KM]:[Drop KM]])</f>
        <v>3.8000000000000003</v>
      </c>
      <c r="G64" s="1">
        <v>31</v>
      </c>
      <c r="H64" s="1">
        <v>3.72</v>
      </c>
      <c r="I64" s="1">
        <f t="shared" si="9"/>
        <v>27.28</v>
      </c>
      <c r="J64" s="1" t="s">
        <v>6</v>
      </c>
    </row>
    <row r="65" spans="1:10" x14ac:dyDescent="0.25">
      <c r="A65" s="1">
        <f t="shared" si="8"/>
        <v>62</v>
      </c>
      <c r="B65" s="5">
        <v>46156</v>
      </c>
      <c r="C65" s="3" t="s">
        <v>120</v>
      </c>
      <c r="D65" s="13">
        <v>1.7</v>
      </c>
      <c r="E65" s="1">
        <v>4</v>
      </c>
      <c r="F65" s="1">
        <f>SUM(Table1[[#This Row],[Pickup KM]:[Drop KM]])</f>
        <v>5.7</v>
      </c>
      <c r="G65" s="1">
        <v>42</v>
      </c>
      <c r="H65" s="1">
        <v>4.25</v>
      </c>
      <c r="I65" s="1">
        <f t="shared" si="9"/>
        <v>37.75</v>
      </c>
      <c r="J65" s="1" t="s">
        <v>6</v>
      </c>
    </row>
    <row r="66" spans="1:10" x14ac:dyDescent="0.25">
      <c r="A66" s="1">
        <f t="shared" si="8"/>
        <v>63</v>
      </c>
      <c r="B66" s="5">
        <v>46156</v>
      </c>
      <c r="C66" s="3" t="s">
        <v>121</v>
      </c>
      <c r="D66" s="13">
        <v>0.74</v>
      </c>
      <c r="E66" s="1">
        <v>2.67</v>
      </c>
      <c r="F66" s="1">
        <f>SUM(Table1[[#This Row],[Pickup KM]:[Drop KM]])</f>
        <v>3.41</v>
      </c>
      <c r="G66" s="1">
        <v>29</v>
      </c>
      <c r="H66" s="1">
        <v>3.63</v>
      </c>
      <c r="I66" s="1">
        <f t="shared" si="9"/>
        <v>25.37</v>
      </c>
      <c r="J66" s="1" t="s">
        <v>6</v>
      </c>
    </row>
    <row r="67" spans="1:10" hidden="1" x14ac:dyDescent="0.25">
      <c r="A67" s="1">
        <f t="shared" si="8"/>
        <v>64</v>
      </c>
      <c r="B67" s="5">
        <v>46156</v>
      </c>
      <c r="C67" s="3" t="s">
        <v>27</v>
      </c>
      <c r="D67" s="13">
        <v>6.84</v>
      </c>
      <c r="E67" s="1">
        <v>26.4</v>
      </c>
      <c r="F67" s="1">
        <f>SUM(Table1[[#This Row],[Pickup KM]:[Drop KM]])</f>
        <v>33.239999999999995</v>
      </c>
      <c r="G67" s="1">
        <v>320</v>
      </c>
      <c r="H67" s="1">
        <v>11.46</v>
      </c>
      <c r="I67" s="1">
        <f t="shared" si="9"/>
        <v>308.54000000000002</v>
      </c>
      <c r="J67" s="1" t="s">
        <v>7</v>
      </c>
    </row>
    <row r="68" spans="1:10" x14ac:dyDescent="0.25">
      <c r="A68" s="1">
        <f t="shared" si="8"/>
        <v>65</v>
      </c>
      <c r="B68" s="5">
        <v>46156</v>
      </c>
      <c r="C68" s="3" t="s">
        <v>122</v>
      </c>
      <c r="D68" s="13">
        <v>0.32</v>
      </c>
      <c r="E68" s="1">
        <v>2.94</v>
      </c>
      <c r="F68" s="1">
        <f>SUM(Table1[[#This Row],[Pickup KM]:[Drop KM]])</f>
        <v>3.26</v>
      </c>
      <c r="G68" s="1">
        <v>40</v>
      </c>
      <c r="H68" s="1">
        <v>4.1500000000000004</v>
      </c>
      <c r="I68" s="1">
        <f t="shared" si="9"/>
        <v>35.85</v>
      </c>
      <c r="J68" s="1" t="s">
        <v>6</v>
      </c>
    </row>
    <row r="69" spans="1:10" x14ac:dyDescent="0.25">
      <c r="A69" s="1">
        <f t="shared" si="8"/>
        <v>66</v>
      </c>
      <c r="B69" s="5">
        <v>46159</v>
      </c>
      <c r="C69" s="3" t="s">
        <v>123</v>
      </c>
      <c r="D69" s="13">
        <v>2.39</v>
      </c>
      <c r="E69" s="1">
        <v>9.06</v>
      </c>
      <c r="F69" s="1">
        <f>SUM(Table1[[#This Row],[Pickup KM]:[Drop KM]])</f>
        <v>11.450000000000001</v>
      </c>
      <c r="G69" s="1">
        <v>88</v>
      </c>
      <c r="H69" s="1">
        <v>6.44</v>
      </c>
      <c r="I69" s="1">
        <f t="shared" si="9"/>
        <v>81.56</v>
      </c>
      <c r="J69" s="1" t="s">
        <v>6</v>
      </c>
    </row>
    <row r="70" spans="1:10" x14ac:dyDescent="0.25">
      <c r="A70" s="1">
        <f t="shared" si="8"/>
        <v>67</v>
      </c>
      <c r="B70" s="5">
        <v>46159</v>
      </c>
      <c r="C70" s="3" t="s">
        <v>124</v>
      </c>
      <c r="D70" s="13">
        <v>0.32</v>
      </c>
      <c r="E70" s="1">
        <v>3.21</v>
      </c>
      <c r="F70" s="1">
        <f>SUM(Table1[[#This Row],[Pickup KM]:[Drop KM]])</f>
        <v>3.53</v>
      </c>
      <c r="G70" s="1">
        <v>43</v>
      </c>
      <c r="H70" s="1">
        <v>4.3</v>
      </c>
      <c r="I70" s="1">
        <f t="shared" si="9"/>
        <v>38.700000000000003</v>
      </c>
      <c r="J70" s="1" t="s">
        <v>6</v>
      </c>
    </row>
    <row r="71" spans="1:10" x14ac:dyDescent="0.25">
      <c r="A71" s="1">
        <f t="shared" si="8"/>
        <v>68</v>
      </c>
      <c r="B71" s="5">
        <v>46159</v>
      </c>
      <c r="C71" s="3" t="s">
        <v>125</v>
      </c>
      <c r="D71" s="13">
        <v>1.36</v>
      </c>
      <c r="E71" s="1">
        <v>1.92</v>
      </c>
      <c r="F71" s="1">
        <f>SUM(Table1[[#This Row],[Pickup KM]:[Drop KM]])</f>
        <v>3.2800000000000002</v>
      </c>
      <c r="G71" s="1">
        <v>28</v>
      </c>
      <c r="H71" s="1">
        <v>3.58</v>
      </c>
      <c r="I71" s="1">
        <f t="shared" si="9"/>
        <v>24.42</v>
      </c>
      <c r="J71" s="1" t="s">
        <v>6</v>
      </c>
    </row>
    <row r="72" spans="1:10" hidden="1" x14ac:dyDescent="0.25">
      <c r="A72" s="1">
        <f t="shared" si="8"/>
        <v>69</v>
      </c>
      <c r="B72" s="5">
        <v>46159</v>
      </c>
      <c r="C72" s="3" t="s">
        <v>28</v>
      </c>
      <c r="D72" s="13">
        <v>0.3</v>
      </c>
      <c r="E72" s="1">
        <v>1.4</v>
      </c>
      <c r="F72" s="1">
        <f>SUM(Table1[[#This Row],[Pickup KM]:[Drop KM]])</f>
        <v>1.7</v>
      </c>
      <c r="G72" s="1">
        <v>36</v>
      </c>
      <c r="H72" s="1">
        <v>3.96</v>
      </c>
      <c r="I72" s="1">
        <f t="shared" si="9"/>
        <v>32.04</v>
      </c>
      <c r="J72" s="1" t="s">
        <v>7</v>
      </c>
    </row>
    <row r="73" spans="1:10" x14ac:dyDescent="0.25">
      <c r="A73" s="1">
        <f t="shared" si="8"/>
        <v>70</v>
      </c>
      <c r="B73" s="5">
        <v>46159</v>
      </c>
      <c r="C73" s="3" t="s">
        <v>126</v>
      </c>
      <c r="D73" s="13">
        <v>0.71</v>
      </c>
      <c r="E73" s="1">
        <v>5.68</v>
      </c>
      <c r="F73" s="1">
        <f>SUM(Table1[[#This Row],[Pickup KM]:[Drop KM]])</f>
        <v>6.39</v>
      </c>
      <c r="G73" s="1">
        <v>57</v>
      </c>
      <c r="H73" s="1">
        <v>4.96</v>
      </c>
      <c r="I73" s="1">
        <f t="shared" si="9"/>
        <v>52.04</v>
      </c>
      <c r="J73" s="1" t="s">
        <v>6</v>
      </c>
    </row>
    <row r="74" spans="1:10" hidden="1" x14ac:dyDescent="0.25">
      <c r="A74" s="1">
        <f t="shared" si="8"/>
        <v>71</v>
      </c>
      <c r="B74" s="5">
        <v>46159</v>
      </c>
      <c r="C74" s="3" t="s">
        <v>29</v>
      </c>
      <c r="D74" s="13">
        <v>1.55</v>
      </c>
      <c r="E74" s="1">
        <v>5.69</v>
      </c>
      <c r="F74" s="1">
        <f>SUM(Table1[[#This Row],[Pickup KM]:[Drop KM]])</f>
        <v>7.24</v>
      </c>
      <c r="G74" s="1">
        <v>69</v>
      </c>
      <c r="H74" s="1">
        <v>5.53</v>
      </c>
      <c r="I74" s="1">
        <f t="shared" si="9"/>
        <v>63.47</v>
      </c>
      <c r="J74" s="1" t="s">
        <v>7</v>
      </c>
    </row>
    <row r="75" spans="1:10" hidden="1" x14ac:dyDescent="0.25">
      <c r="A75" s="1">
        <f t="shared" ref="A75:A100" si="10">IF($B$4=" ", " ", ROW()-3)</f>
        <v>72</v>
      </c>
      <c r="B75" s="5">
        <v>46159</v>
      </c>
      <c r="C75" s="3" t="s">
        <v>30</v>
      </c>
      <c r="D75" s="13">
        <v>3.77</v>
      </c>
      <c r="E75" s="1">
        <v>6.91</v>
      </c>
      <c r="F75" s="1">
        <f>SUM(Table1[[#This Row],[Pickup KM]:[Drop KM]])</f>
        <v>10.68</v>
      </c>
      <c r="G75" s="1">
        <v>67</v>
      </c>
      <c r="H75" s="1">
        <v>5.44</v>
      </c>
      <c r="I75" s="1">
        <f t="shared" ref="I75:I100" si="11">G75-H75</f>
        <v>61.56</v>
      </c>
      <c r="J75" s="1" t="s">
        <v>7</v>
      </c>
    </row>
    <row r="76" spans="1:10" x14ac:dyDescent="0.25">
      <c r="A76" s="1">
        <f t="shared" si="10"/>
        <v>73</v>
      </c>
      <c r="B76" s="5">
        <v>46159</v>
      </c>
      <c r="C76" s="3" t="s">
        <v>127</v>
      </c>
      <c r="D76" s="13">
        <v>0.56000000000000005</v>
      </c>
      <c r="E76" s="1">
        <v>1.96</v>
      </c>
      <c r="F76" s="1">
        <f>SUM(Table1[[#This Row],[Pickup KM]:[Drop KM]])</f>
        <v>2.52</v>
      </c>
      <c r="G76" s="1">
        <v>28</v>
      </c>
      <c r="H76" s="1">
        <v>3.58</v>
      </c>
      <c r="I76" s="1">
        <f t="shared" si="11"/>
        <v>24.42</v>
      </c>
      <c r="J76" s="1" t="s">
        <v>6</v>
      </c>
    </row>
    <row r="77" spans="1:10" hidden="1" x14ac:dyDescent="0.25">
      <c r="A77" s="1">
        <f t="shared" si="10"/>
        <v>74</v>
      </c>
      <c r="B77" s="5">
        <v>46159</v>
      </c>
      <c r="C77" s="3" t="s">
        <v>31</v>
      </c>
      <c r="D77" s="13">
        <v>1.29</v>
      </c>
      <c r="E77" s="1">
        <v>1.1399999999999999</v>
      </c>
      <c r="F77" s="1">
        <f>SUM(Table1[[#This Row],[Pickup KM]:[Drop KM]])</f>
        <v>2.4299999999999997</v>
      </c>
      <c r="G77" s="1">
        <v>30</v>
      </c>
      <c r="H77" s="1">
        <v>3.68</v>
      </c>
      <c r="I77" s="1">
        <f t="shared" si="11"/>
        <v>26.32</v>
      </c>
      <c r="J77" s="1" t="s">
        <v>7</v>
      </c>
    </row>
    <row r="78" spans="1:10" hidden="1" x14ac:dyDescent="0.25">
      <c r="A78" s="1">
        <f t="shared" si="10"/>
        <v>75</v>
      </c>
      <c r="B78" s="5">
        <v>46159</v>
      </c>
      <c r="C78" s="3" t="s">
        <v>32</v>
      </c>
      <c r="D78" s="13">
        <v>1.64</v>
      </c>
      <c r="E78" s="1">
        <v>3.43</v>
      </c>
      <c r="F78" s="1">
        <f>SUM(Table1[[#This Row],[Pickup KM]:[Drop KM]])</f>
        <v>5.07</v>
      </c>
      <c r="G78" s="1">
        <v>39</v>
      </c>
      <c r="H78" s="1">
        <v>4.1100000000000003</v>
      </c>
      <c r="I78" s="1">
        <f t="shared" si="11"/>
        <v>34.89</v>
      </c>
      <c r="J78" s="1" t="s">
        <v>7</v>
      </c>
    </row>
    <row r="79" spans="1:10" hidden="1" x14ac:dyDescent="0.25">
      <c r="A79" s="1">
        <f t="shared" si="10"/>
        <v>76</v>
      </c>
      <c r="B79" s="5">
        <v>46159</v>
      </c>
      <c r="C79" s="3" t="s">
        <v>33</v>
      </c>
      <c r="D79" s="13">
        <v>0.72</v>
      </c>
      <c r="E79" s="1">
        <v>2.9</v>
      </c>
      <c r="F79" s="1">
        <f>SUM(Table1[[#This Row],[Pickup KM]:[Drop KM]])</f>
        <v>3.62</v>
      </c>
      <c r="G79" s="1">
        <v>41</v>
      </c>
      <c r="H79" s="1">
        <v>4.2</v>
      </c>
      <c r="I79" s="1">
        <f t="shared" si="11"/>
        <v>36.799999999999997</v>
      </c>
      <c r="J79" s="1" t="s">
        <v>7</v>
      </c>
    </row>
    <row r="80" spans="1:10" x14ac:dyDescent="0.25">
      <c r="A80" s="1">
        <f t="shared" si="10"/>
        <v>77</v>
      </c>
      <c r="B80" s="5">
        <v>46159</v>
      </c>
      <c r="C80" s="3" t="s">
        <v>128</v>
      </c>
      <c r="D80" s="13">
        <v>0.62</v>
      </c>
      <c r="E80" s="1">
        <v>4.76</v>
      </c>
      <c r="F80" s="1">
        <f>SUM(Table1[[#This Row],[Pickup KM]:[Drop KM]])</f>
        <v>5.38</v>
      </c>
      <c r="G80" s="1">
        <v>49</v>
      </c>
      <c r="H80" s="1">
        <v>4.58</v>
      </c>
      <c r="I80" s="1">
        <f t="shared" si="11"/>
        <v>44.42</v>
      </c>
      <c r="J80" s="1" t="s">
        <v>6</v>
      </c>
    </row>
    <row r="81" spans="1:10" hidden="1" x14ac:dyDescent="0.25">
      <c r="A81" s="1">
        <f t="shared" si="10"/>
        <v>78</v>
      </c>
      <c r="B81" s="5">
        <v>46159</v>
      </c>
      <c r="C81" s="3" t="s">
        <v>34</v>
      </c>
      <c r="D81" s="13">
        <v>1.04</v>
      </c>
      <c r="E81" s="1">
        <v>2.67</v>
      </c>
      <c r="F81" s="1">
        <f>SUM(Table1[[#This Row],[Pickup KM]:[Drop KM]])</f>
        <v>3.71</v>
      </c>
      <c r="G81" s="1">
        <v>34</v>
      </c>
      <c r="H81" s="1">
        <v>3.87</v>
      </c>
      <c r="I81" s="1">
        <f t="shared" si="11"/>
        <v>30.13</v>
      </c>
      <c r="J81" s="1" t="s">
        <v>7</v>
      </c>
    </row>
    <row r="82" spans="1:10" x14ac:dyDescent="0.25">
      <c r="A82" s="1">
        <f t="shared" si="10"/>
        <v>79</v>
      </c>
      <c r="B82" s="5">
        <v>46159</v>
      </c>
      <c r="C82" s="3" t="s">
        <v>129</v>
      </c>
      <c r="D82" s="13">
        <v>0.77</v>
      </c>
      <c r="E82" s="1">
        <v>1.93</v>
      </c>
      <c r="F82" s="1">
        <f>SUM(Table1[[#This Row],[Pickup KM]:[Drop KM]])</f>
        <v>2.7</v>
      </c>
      <c r="G82" s="1">
        <v>31</v>
      </c>
      <c r="H82" s="1">
        <v>3.72</v>
      </c>
      <c r="I82" s="1">
        <f t="shared" si="11"/>
        <v>27.28</v>
      </c>
      <c r="J82" s="1" t="s">
        <v>6</v>
      </c>
    </row>
    <row r="83" spans="1:10" x14ac:dyDescent="0.25">
      <c r="A83" s="1">
        <f t="shared" si="10"/>
        <v>80</v>
      </c>
      <c r="B83" s="5">
        <v>46159</v>
      </c>
      <c r="C83" s="3" t="s">
        <v>130</v>
      </c>
      <c r="D83" s="13">
        <v>0.63</v>
      </c>
      <c r="E83" s="1">
        <v>5.88</v>
      </c>
      <c r="F83" s="1">
        <f>SUM(Table1[[#This Row],[Pickup KM]:[Drop KM]])</f>
        <v>6.51</v>
      </c>
      <c r="G83" s="1">
        <v>75</v>
      </c>
      <c r="H83" s="1">
        <v>5.85</v>
      </c>
      <c r="I83" s="1">
        <f t="shared" si="11"/>
        <v>69.150000000000006</v>
      </c>
      <c r="J83" s="1" t="s">
        <v>6</v>
      </c>
    </row>
    <row r="84" spans="1:10" x14ac:dyDescent="0.25">
      <c r="A84" s="1">
        <f t="shared" si="10"/>
        <v>81</v>
      </c>
      <c r="B84" s="5">
        <v>46159</v>
      </c>
      <c r="C84" s="3" t="s">
        <v>131</v>
      </c>
      <c r="D84" s="13">
        <v>2.54</v>
      </c>
      <c r="E84" s="1">
        <v>5.22</v>
      </c>
      <c r="F84" s="1">
        <f>SUM(Table1[[#This Row],[Pickup KM]:[Drop KM]])</f>
        <v>7.76</v>
      </c>
      <c r="G84" s="1">
        <v>51</v>
      </c>
      <c r="H84" s="1">
        <v>4.68</v>
      </c>
      <c r="I84" s="1">
        <f t="shared" si="11"/>
        <v>46.32</v>
      </c>
      <c r="J84" s="1" t="s">
        <v>6</v>
      </c>
    </row>
    <row r="85" spans="1:10" hidden="1" x14ac:dyDescent="0.25">
      <c r="A85" s="1">
        <f t="shared" si="10"/>
        <v>82</v>
      </c>
      <c r="B85" s="5">
        <v>46159</v>
      </c>
      <c r="C85" s="3" t="s">
        <v>35</v>
      </c>
      <c r="D85" s="13">
        <v>0.63</v>
      </c>
      <c r="E85" s="1">
        <v>3.25</v>
      </c>
      <c r="F85" s="1">
        <f>SUM(Table1[[#This Row],[Pickup KM]:[Drop KM]])</f>
        <v>3.88</v>
      </c>
      <c r="G85" s="1">
        <v>46</v>
      </c>
      <c r="H85" s="1">
        <v>4.4400000000000004</v>
      </c>
      <c r="I85" s="1">
        <f t="shared" si="11"/>
        <v>41.56</v>
      </c>
      <c r="J85" s="1" t="s">
        <v>7</v>
      </c>
    </row>
    <row r="86" spans="1:10" x14ac:dyDescent="0.25">
      <c r="A86" s="1">
        <f t="shared" si="10"/>
        <v>83</v>
      </c>
      <c r="B86" s="5">
        <v>46159</v>
      </c>
      <c r="C86" s="3" t="s">
        <v>132</v>
      </c>
      <c r="D86" s="13">
        <v>0.77</v>
      </c>
      <c r="E86" s="1">
        <v>4.5</v>
      </c>
      <c r="F86" s="1">
        <f>SUM(Table1[[#This Row],[Pickup KM]:[Drop KM]])</f>
        <v>5.27</v>
      </c>
      <c r="G86" s="1">
        <v>46</v>
      </c>
      <c r="H86" s="1">
        <v>4.4400000000000004</v>
      </c>
      <c r="I86" s="1">
        <f t="shared" si="11"/>
        <v>41.56</v>
      </c>
      <c r="J86" s="1" t="s">
        <v>6</v>
      </c>
    </row>
    <row r="87" spans="1:10" x14ac:dyDescent="0.25">
      <c r="A87" s="1">
        <f t="shared" si="10"/>
        <v>84</v>
      </c>
      <c r="B87" s="5">
        <v>46160</v>
      </c>
      <c r="C87" s="3" t="s">
        <v>133</v>
      </c>
      <c r="D87" s="13">
        <v>0.42</v>
      </c>
      <c r="E87" s="1">
        <v>8.89</v>
      </c>
      <c r="F87" s="1">
        <f>SUM(Table1[[#This Row],[Pickup KM]:[Drop KM]])</f>
        <v>9.31</v>
      </c>
      <c r="G87" s="1">
        <v>89</v>
      </c>
      <c r="H87" s="1">
        <v>6.49</v>
      </c>
      <c r="I87" s="1">
        <f t="shared" si="11"/>
        <v>82.51</v>
      </c>
      <c r="J87" s="1" t="s">
        <v>6</v>
      </c>
    </row>
    <row r="88" spans="1:10" x14ac:dyDescent="0.25">
      <c r="A88" s="1">
        <f t="shared" si="10"/>
        <v>85</v>
      </c>
      <c r="B88" s="5">
        <v>46160</v>
      </c>
      <c r="C88" s="3" t="s">
        <v>134</v>
      </c>
      <c r="D88" s="13">
        <v>0.83</v>
      </c>
      <c r="E88" s="1">
        <v>2.76</v>
      </c>
      <c r="F88" s="1">
        <f>SUM(Table1[[#This Row],[Pickup KM]:[Drop KM]])</f>
        <v>3.59</v>
      </c>
      <c r="G88" s="1">
        <v>30</v>
      </c>
      <c r="H88" s="1">
        <v>3.68</v>
      </c>
      <c r="I88" s="1">
        <f t="shared" si="11"/>
        <v>26.32</v>
      </c>
      <c r="J88" s="1" t="s">
        <v>6</v>
      </c>
    </row>
    <row r="89" spans="1:10" x14ac:dyDescent="0.25">
      <c r="A89" s="1">
        <f t="shared" si="10"/>
        <v>86</v>
      </c>
      <c r="B89" s="5">
        <v>46160</v>
      </c>
      <c r="C89" s="3" t="s">
        <v>135</v>
      </c>
      <c r="D89" s="13">
        <v>1.2</v>
      </c>
      <c r="E89" s="1">
        <v>3.45</v>
      </c>
      <c r="F89" s="1">
        <f>SUM(Table1[[#This Row],[Pickup KM]:[Drop KM]])</f>
        <v>4.6500000000000004</v>
      </c>
      <c r="G89" s="1">
        <v>35</v>
      </c>
      <c r="H89" s="1">
        <v>3.91</v>
      </c>
      <c r="I89" s="1">
        <f t="shared" si="11"/>
        <v>31.09</v>
      </c>
      <c r="J89" s="1" t="s">
        <v>6</v>
      </c>
    </row>
    <row r="90" spans="1:10" x14ac:dyDescent="0.25">
      <c r="A90" s="1">
        <f t="shared" si="10"/>
        <v>87</v>
      </c>
      <c r="B90" s="5">
        <v>46160</v>
      </c>
      <c r="C90" s="3" t="s">
        <v>136</v>
      </c>
      <c r="D90" s="13">
        <v>0.24</v>
      </c>
      <c r="E90" s="1">
        <v>6.43</v>
      </c>
      <c r="F90" s="1">
        <f>SUM(Table1[[#This Row],[Pickup KM]:[Drop KM]])</f>
        <v>6.67</v>
      </c>
      <c r="G90" s="1">
        <v>68</v>
      </c>
      <c r="H90" s="1">
        <v>5.49</v>
      </c>
      <c r="I90" s="1">
        <f t="shared" si="11"/>
        <v>62.51</v>
      </c>
      <c r="J90" s="1" t="s">
        <v>6</v>
      </c>
    </row>
    <row r="91" spans="1:10" x14ac:dyDescent="0.25">
      <c r="A91" s="1">
        <f t="shared" si="10"/>
        <v>88</v>
      </c>
      <c r="B91" s="5">
        <v>46160</v>
      </c>
      <c r="C91" s="3" t="s">
        <v>137</v>
      </c>
      <c r="D91" s="13">
        <v>3.72</v>
      </c>
      <c r="E91" s="1">
        <v>3.45</v>
      </c>
      <c r="F91" s="1">
        <f>SUM(Table1[[#This Row],[Pickup KM]:[Drop KM]])</f>
        <v>7.17</v>
      </c>
      <c r="G91" s="1">
        <v>43</v>
      </c>
      <c r="H91" s="1">
        <v>4.3</v>
      </c>
      <c r="I91" s="1">
        <f t="shared" si="11"/>
        <v>38.700000000000003</v>
      </c>
      <c r="J91" s="1" t="s">
        <v>6</v>
      </c>
    </row>
    <row r="92" spans="1:10" x14ac:dyDescent="0.25">
      <c r="A92" s="1">
        <f t="shared" si="10"/>
        <v>89</v>
      </c>
      <c r="B92" s="5">
        <v>46160</v>
      </c>
      <c r="C92" s="3" t="s">
        <v>138</v>
      </c>
      <c r="D92" s="13">
        <v>1.1100000000000001</v>
      </c>
      <c r="E92" s="1">
        <v>7.82</v>
      </c>
      <c r="F92" s="1">
        <f>SUM(Table1[[#This Row],[Pickup KM]:[Drop KM]])</f>
        <v>8.93</v>
      </c>
      <c r="G92" s="1">
        <v>85</v>
      </c>
      <c r="H92" s="1">
        <v>6.3</v>
      </c>
      <c r="I92" s="1">
        <f t="shared" si="11"/>
        <v>78.7</v>
      </c>
      <c r="J92" s="1" t="s">
        <v>6</v>
      </c>
    </row>
    <row r="93" spans="1:10" x14ac:dyDescent="0.25">
      <c r="A93" s="1">
        <f t="shared" si="10"/>
        <v>90</v>
      </c>
      <c r="B93" s="5">
        <v>46160</v>
      </c>
      <c r="C93" s="3" t="s">
        <v>139</v>
      </c>
      <c r="D93" s="13">
        <v>1.56</v>
      </c>
      <c r="E93" s="1">
        <v>4.87</v>
      </c>
      <c r="F93" s="1">
        <f>SUM(Table1[[#This Row],[Pickup KM]:[Drop KM]])</f>
        <v>6.43</v>
      </c>
      <c r="G93" s="1">
        <v>51</v>
      </c>
      <c r="H93" s="1">
        <v>4.68</v>
      </c>
      <c r="I93" s="1">
        <f t="shared" si="11"/>
        <v>46.32</v>
      </c>
      <c r="J93" s="1" t="s">
        <v>6</v>
      </c>
    </row>
    <row r="94" spans="1:10" x14ac:dyDescent="0.25">
      <c r="A94" s="1">
        <f t="shared" si="10"/>
        <v>91</v>
      </c>
      <c r="B94" s="5">
        <v>46160</v>
      </c>
      <c r="C94" s="3" t="s">
        <v>140</v>
      </c>
      <c r="D94" s="13">
        <v>0.7</v>
      </c>
      <c r="E94" s="1">
        <v>5.0999999999999996</v>
      </c>
      <c r="F94" s="1">
        <f>SUM(Table1[[#This Row],[Pickup KM]:[Drop KM]])</f>
        <v>5.8</v>
      </c>
      <c r="G94" s="1">
        <v>53</v>
      </c>
      <c r="H94" s="1">
        <v>4.7699999999999996</v>
      </c>
      <c r="I94" s="1">
        <f t="shared" si="11"/>
        <v>48.230000000000004</v>
      </c>
      <c r="J94" s="1" t="s">
        <v>6</v>
      </c>
    </row>
    <row r="95" spans="1:10" hidden="1" x14ac:dyDescent="0.25">
      <c r="A95" s="1">
        <f t="shared" si="10"/>
        <v>92</v>
      </c>
      <c r="B95" s="5">
        <v>46160</v>
      </c>
      <c r="C95" s="3" t="s">
        <v>36</v>
      </c>
      <c r="D95" s="13">
        <v>1.1399999999999999</v>
      </c>
      <c r="E95" s="1">
        <v>1.77</v>
      </c>
      <c r="F95" s="1">
        <f>SUM(Table1[[#This Row],[Pickup KM]:[Drop KM]])</f>
        <v>2.91</v>
      </c>
      <c r="G95" s="1">
        <v>36</v>
      </c>
      <c r="H95" s="1">
        <v>3.96</v>
      </c>
      <c r="I95" s="1">
        <f t="shared" si="11"/>
        <v>32.04</v>
      </c>
      <c r="J95" s="1" t="s">
        <v>7</v>
      </c>
    </row>
    <row r="96" spans="1:10" hidden="1" x14ac:dyDescent="0.25">
      <c r="A96" s="1">
        <f t="shared" si="10"/>
        <v>93</v>
      </c>
      <c r="B96" s="5">
        <v>46160</v>
      </c>
      <c r="C96" s="3" t="s">
        <v>37</v>
      </c>
      <c r="D96" s="13">
        <v>2.1800000000000002</v>
      </c>
      <c r="E96" s="1">
        <v>5.71</v>
      </c>
      <c r="F96" s="1">
        <f>SUM(Table1[[#This Row],[Pickup KM]:[Drop KM]])</f>
        <v>7.8900000000000006</v>
      </c>
      <c r="G96" s="1">
        <v>59</v>
      </c>
      <c r="H96" s="1">
        <v>5.0599999999999996</v>
      </c>
      <c r="I96" s="1">
        <f t="shared" si="11"/>
        <v>53.94</v>
      </c>
      <c r="J96" s="1" t="s">
        <v>7</v>
      </c>
    </row>
    <row r="97" spans="1:10" x14ac:dyDescent="0.25">
      <c r="A97" s="1">
        <f t="shared" si="10"/>
        <v>94</v>
      </c>
      <c r="B97" s="5">
        <v>46160</v>
      </c>
      <c r="C97" s="3" t="s">
        <v>141</v>
      </c>
      <c r="D97" s="13">
        <v>0.81</v>
      </c>
      <c r="E97" s="1">
        <v>4.17</v>
      </c>
      <c r="F97" s="1">
        <f>SUM(Table1[[#This Row],[Pickup KM]:[Drop KM]])</f>
        <v>4.9800000000000004</v>
      </c>
      <c r="G97" s="1">
        <v>44</v>
      </c>
      <c r="H97" s="1">
        <v>4.34</v>
      </c>
      <c r="I97" s="1">
        <f t="shared" si="11"/>
        <v>39.659999999999997</v>
      </c>
      <c r="J97" s="1" t="s">
        <v>6</v>
      </c>
    </row>
    <row r="98" spans="1:10" x14ac:dyDescent="0.25">
      <c r="A98" s="1">
        <f t="shared" si="10"/>
        <v>95</v>
      </c>
      <c r="B98" s="5">
        <v>46160</v>
      </c>
      <c r="C98" s="3" t="s">
        <v>142</v>
      </c>
      <c r="D98" s="13">
        <v>1.32</v>
      </c>
      <c r="E98" s="1">
        <v>2.69</v>
      </c>
      <c r="F98" s="1">
        <f>SUM(Table1[[#This Row],[Pickup KM]:[Drop KM]])</f>
        <v>4.01</v>
      </c>
      <c r="G98" s="1">
        <v>29</v>
      </c>
      <c r="H98" s="1">
        <v>3.63</v>
      </c>
      <c r="I98" s="1">
        <f t="shared" si="11"/>
        <v>25.37</v>
      </c>
      <c r="J98" s="1" t="s">
        <v>6</v>
      </c>
    </row>
    <row r="99" spans="1:10" hidden="1" x14ac:dyDescent="0.25">
      <c r="A99" s="1">
        <f t="shared" si="10"/>
        <v>96</v>
      </c>
      <c r="B99" s="5">
        <v>46160</v>
      </c>
      <c r="C99" s="3" t="s">
        <v>38</v>
      </c>
      <c r="D99" s="13">
        <v>4.74</v>
      </c>
      <c r="E99" s="1">
        <v>8.64</v>
      </c>
      <c r="F99" s="1">
        <f>SUM(Table1[[#This Row],[Pickup KM]:[Drop KM]])</f>
        <v>13.38</v>
      </c>
      <c r="G99" s="1">
        <v>96</v>
      </c>
      <c r="H99" s="1">
        <v>6.72</v>
      </c>
      <c r="I99" s="1">
        <f t="shared" si="11"/>
        <v>89.28</v>
      </c>
      <c r="J99" s="1" t="s">
        <v>7</v>
      </c>
    </row>
    <row r="100" spans="1:10" x14ac:dyDescent="0.25">
      <c r="A100" s="1">
        <f t="shared" si="10"/>
        <v>97</v>
      </c>
      <c r="B100" s="5">
        <v>46160</v>
      </c>
      <c r="C100" s="3" t="s">
        <v>143</v>
      </c>
      <c r="D100" s="13">
        <v>1.51</v>
      </c>
      <c r="E100" s="1">
        <v>5.34</v>
      </c>
      <c r="F100" s="1">
        <f>SUM(Table1[[#This Row],[Pickup KM]:[Drop KM]])</f>
        <v>6.85</v>
      </c>
      <c r="G100" s="1">
        <v>67</v>
      </c>
      <c r="H100" s="1">
        <v>5.44</v>
      </c>
      <c r="I100" s="1">
        <f t="shared" si="11"/>
        <v>61.56</v>
      </c>
      <c r="J100" s="1" t="s">
        <v>6</v>
      </c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CFB4-93FC-4602-A552-68790323B122}">
  <dimension ref="A1:Q12"/>
  <sheetViews>
    <sheetView showGridLines="0" zoomScaleNormal="100" zoomScaleSheetLayoutView="100" workbookViewId="0">
      <selection activeCell="P18" sqref="P18"/>
    </sheetView>
  </sheetViews>
  <sheetFormatPr defaultRowHeight="13.8" x14ac:dyDescent="0.25"/>
  <cols>
    <col min="1" max="1" width="12.19921875" style="4" customWidth="1"/>
    <col min="2" max="2" width="11.3984375" style="9" customWidth="1"/>
    <col min="3" max="3" width="10.59765625" style="9" customWidth="1"/>
    <col min="4" max="4" width="12.3984375" style="10" customWidth="1"/>
    <col min="5" max="5" width="7.296875" style="2" customWidth="1"/>
    <col min="6" max="6" width="10.3984375" customWidth="1"/>
    <col min="7" max="7" width="14.8984375" customWidth="1"/>
    <col min="8" max="8" width="14.296875" customWidth="1"/>
    <col min="9" max="9" width="9.09765625" style="8" customWidth="1"/>
    <col min="10" max="10" width="9.09765625" customWidth="1"/>
    <col min="11" max="11" width="8.296875" customWidth="1"/>
    <col min="12" max="12" width="17.59765625" customWidth="1"/>
    <col min="13" max="13" width="11" customWidth="1"/>
    <col min="14" max="14" width="11" style="6" customWidth="1"/>
    <col min="15" max="15" width="10.8984375" customWidth="1"/>
    <col min="16" max="16" width="13" style="7" customWidth="1"/>
    <col min="17" max="17" width="18.796875" style="8" customWidth="1"/>
  </cols>
  <sheetData>
    <row r="1" spans="1:17" x14ac:dyDescent="0.25">
      <c r="A1" s="35" t="s">
        <v>43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1:17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17" x14ac:dyDescent="0.25">
      <c r="A3" s="3" t="s">
        <v>2</v>
      </c>
      <c r="B3" s="14" t="s">
        <v>11</v>
      </c>
      <c r="C3" s="14" t="s">
        <v>12</v>
      </c>
      <c r="D3" s="15" t="s">
        <v>13</v>
      </c>
      <c r="E3" s="12" t="s">
        <v>10</v>
      </c>
      <c r="F3" s="16" t="s">
        <v>17</v>
      </c>
      <c r="G3" s="12" t="s">
        <v>14</v>
      </c>
      <c r="H3" s="12" t="s">
        <v>15</v>
      </c>
      <c r="I3" s="17" t="s">
        <v>16</v>
      </c>
      <c r="J3" s="12" t="s">
        <v>21</v>
      </c>
      <c r="K3" s="12" t="s">
        <v>7</v>
      </c>
      <c r="L3" s="12" t="s">
        <v>18</v>
      </c>
      <c r="M3" s="12" t="s">
        <v>26</v>
      </c>
      <c r="N3" s="18" t="s">
        <v>9</v>
      </c>
      <c r="O3" s="12" t="s">
        <v>39</v>
      </c>
      <c r="P3" s="19" t="s">
        <v>40</v>
      </c>
      <c r="Q3" s="17" t="s">
        <v>41</v>
      </c>
    </row>
    <row r="4" spans="1:17" x14ac:dyDescent="0.25">
      <c r="A4" s="4">
        <v>46149</v>
      </c>
      <c r="B4" s="9">
        <v>0.68472222222222223</v>
      </c>
      <c r="C4" s="9">
        <v>0.9291666666666667</v>
      </c>
      <c r="D4" s="10">
        <f t="shared" ref="D4:D12" si="0">C4-B4</f>
        <v>0.24444444444444446</v>
      </c>
      <c r="E4" s="2">
        <f>COUNTIF(Ride_Entries!B:B, Table2[[#This Row],[Date]])</f>
        <v>15</v>
      </c>
      <c r="F4">
        <f>SUMIF(Ride_Entries!B:B, Table2[[#This Row],[Date]], Ride_Entries!F:F)</f>
        <v>68.67</v>
      </c>
      <c r="G4">
        <f>SUMIF(Ride_Entries!B:B, Table2[[#This Row],[Date]], Ride_Entries!G:G)</f>
        <v>647</v>
      </c>
      <c r="H4">
        <f>SUMIF(Ride_Entries!B:B, Table2[[#This Row],[Date]], Ride_Entries!H:H)</f>
        <v>64.53</v>
      </c>
      <c r="I4" s="8">
        <f>Table2[[#This Row],[Order Amount]]-Table2[[#This Row],[Tax Deducted]]</f>
        <v>582.47</v>
      </c>
      <c r="J4">
        <f>SUMIFS(Ride_Entries!I:I, Ride_Entries!B:B, Table2[[#This Row],[Date]], Ride_Entries!J:J, "Online")</f>
        <v>582.47000000000014</v>
      </c>
      <c r="K4">
        <f>SUMIFS(Ride_Entries!I:I, Ride_Entries!B:B, Table2[[#This Row],[Date]], Ride_Entries!J:J, "Cash")</f>
        <v>0</v>
      </c>
      <c r="N4" s="6">
        <f t="shared" ref="N4:N12" si="1">(F4/52)*100</f>
        <v>132.05769230769232</v>
      </c>
      <c r="O4">
        <v>399</v>
      </c>
      <c r="P4" s="7">
        <f>((Table2[[#This Row],[Earning]]+Table2[[#This Row],[Cancellation Fees]]+Table2[[#This Row],[Incentive]])-(Table2[[#This Row],[Fuel Cost]]+Table2[[#This Row],[Recharge]]))</f>
        <v>51.41230769230765</v>
      </c>
      <c r="Q4" s="28"/>
    </row>
    <row r="5" spans="1:17" x14ac:dyDescent="0.25">
      <c r="A5" s="4">
        <v>46150</v>
      </c>
      <c r="B5" s="9">
        <v>0.70833333333333337</v>
      </c>
      <c r="C5" s="9">
        <v>0.9375</v>
      </c>
      <c r="D5" s="10">
        <f t="shared" si="0"/>
        <v>0.22916666666666663</v>
      </c>
      <c r="E5" s="2">
        <f>COUNTIF(Ride_Entries!B:B, Table2[[#This Row],[Date]])</f>
        <v>15</v>
      </c>
      <c r="F5">
        <f>SUMIF(Ride_Entries!B:B, Table2[[#This Row],[Date]], Ride_Entries!F:F)</f>
        <v>81.029999999999987</v>
      </c>
      <c r="G5">
        <f>SUMIF(Ride_Entries!B:B, Table2[[#This Row],[Date]], Ride_Entries!G:G)</f>
        <v>768</v>
      </c>
      <c r="H5">
        <f>SUMIF(Ride_Entries!B:B, Table2[[#This Row],[Date]], Ride_Entries!H:H)</f>
        <v>68.19</v>
      </c>
      <c r="I5" s="8">
        <f>Table2[[#This Row],[Order Amount]]-Table2[[#This Row],[Tax Deducted]]</f>
        <v>699.81</v>
      </c>
      <c r="J5">
        <f>SUMIFS(Ride_Entries!I:I, Ride_Entries!B:B, Table2[[#This Row],[Date]], Ride_Entries!J:J, "Online")</f>
        <v>603.77</v>
      </c>
      <c r="K5">
        <f>SUMIFS(Ride_Entries!I:I, Ride_Entries!B:B, Table2[[#This Row],[Date]], Ride_Entries!J:J, "Cash")</f>
        <v>96.04</v>
      </c>
      <c r="N5" s="6">
        <f t="shared" si="1"/>
        <v>155.82692307692304</v>
      </c>
      <c r="P5" s="7">
        <f>((Table2[[#This Row],[Earning]]+Table2[[#This Row],[Cancellation Fees]]+Table2[[#This Row],[Incentive]])-(Table2[[#This Row],[Fuel Cost]]+Table2[[#This Row],[Recharge]]))</f>
        <v>543.98307692307685</v>
      </c>
      <c r="Q5" s="28"/>
    </row>
    <row r="6" spans="1:17" x14ac:dyDescent="0.25">
      <c r="A6" s="4">
        <v>46151</v>
      </c>
      <c r="B6" s="9">
        <v>0.70833333333333337</v>
      </c>
      <c r="C6" s="9">
        <v>0.89583333333333337</v>
      </c>
      <c r="D6" s="10">
        <f t="shared" si="0"/>
        <v>0.1875</v>
      </c>
      <c r="E6" s="2">
        <f>COUNTIF(Ride_Entries!B:B, Table2[[#This Row],[Date]])</f>
        <v>9</v>
      </c>
      <c r="F6">
        <f>SUMIF(Ride_Entries!B:B, Table2[[#This Row],[Date]], Ride_Entries!F:F)</f>
        <v>40.410000000000004</v>
      </c>
      <c r="G6">
        <f>SUMIF(Ride_Entries!B:B, Table2[[#This Row],[Date]], Ride_Entries!G:G)</f>
        <v>386</v>
      </c>
      <c r="H6">
        <f>SUMIF(Ride_Entries!B:B, Table2[[#This Row],[Date]], Ride_Entries!H:H)</f>
        <v>38.599999999999994</v>
      </c>
      <c r="I6" s="8">
        <f>Table2[[#This Row],[Order Amount]]-Table2[[#This Row],[Tax Deducted]]</f>
        <v>347.4</v>
      </c>
      <c r="J6">
        <f>SUMIFS(Ride_Entries!I:I, Ride_Entries!B:B, Table2[[#This Row],[Date]], Ride_Entries!J:J, "Online")</f>
        <v>288.08000000000004</v>
      </c>
      <c r="K6">
        <f>SUMIFS(Ride_Entries!I:I, Ride_Entries!B:B, Table2[[#This Row],[Date]], Ride_Entries!J:J, "Cash")</f>
        <v>59.32</v>
      </c>
      <c r="L6">
        <v>6</v>
      </c>
      <c r="N6" s="6">
        <f t="shared" si="1"/>
        <v>77.711538461538467</v>
      </c>
      <c r="P6" s="7">
        <f>((Table2[[#This Row],[Earning]]+Table2[[#This Row],[Cancellation Fees]]+Table2[[#This Row],[Incentive]])-(Table2[[#This Row],[Fuel Cost]]+Table2[[#This Row],[Recharge]]))</f>
        <v>275.68846153846152</v>
      </c>
      <c r="Q6" s="28">
        <v>1476</v>
      </c>
    </row>
    <row r="7" spans="1:17" x14ac:dyDescent="0.25">
      <c r="A7" s="4">
        <v>46153</v>
      </c>
      <c r="B7" s="9">
        <v>0.66666666666666663</v>
      </c>
      <c r="C7" s="9">
        <v>0.91666666666666663</v>
      </c>
      <c r="D7" s="10">
        <f t="shared" si="0"/>
        <v>0.25</v>
      </c>
      <c r="E7" s="2">
        <f>COUNTIF(Ride_Entries!B:B, Table2[[#This Row],[Date]])</f>
        <v>12</v>
      </c>
      <c r="F7">
        <f>SUMIF(Ride_Entries!B:B, Table2[[#This Row],[Date]], Ride_Entries!F:F)</f>
        <v>84.72</v>
      </c>
      <c r="G7">
        <f>SUMIF(Ride_Entries!B:B, Table2[[#This Row],[Date]], Ride_Entries!G:G)</f>
        <v>883</v>
      </c>
      <c r="H7">
        <f>SUMIF(Ride_Entries!B:B, Table2[[#This Row],[Date]], Ride_Entries!H:H)</f>
        <v>69.02000000000001</v>
      </c>
      <c r="I7" s="8">
        <f>Table2[[#This Row],[Order Amount]]-Table2[[#This Row],[Tax Deducted]]</f>
        <v>813.98</v>
      </c>
      <c r="J7">
        <f>SUMIFS(Ride_Entries!I:I, Ride_Entries!B:B, Table2[[#This Row],[Date]], Ride_Entries!J:J, "Online")</f>
        <v>557.26</v>
      </c>
      <c r="K7">
        <f>SUMIFS(Ride_Entries!I:I, Ride_Entries!B:B, Table2[[#This Row],[Date]], Ride_Entries!J:J, "Cash")</f>
        <v>256.72000000000003</v>
      </c>
      <c r="L7">
        <v>9</v>
      </c>
      <c r="N7" s="6">
        <f t="shared" si="1"/>
        <v>162.92307692307693</v>
      </c>
      <c r="P7" s="7">
        <f>((Table2[[#This Row],[Earning]]+Table2[[#This Row],[Cancellation Fees]]+Table2[[#This Row],[Incentive]])-(Table2[[#This Row],[Fuel Cost]]+Table2[[#This Row],[Recharge]]))</f>
        <v>660.05692307692311</v>
      </c>
      <c r="Q7" s="28"/>
    </row>
    <row r="8" spans="1:17" x14ac:dyDescent="0.25">
      <c r="A8" s="4">
        <v>46154</v>
      </c>
      <c r="D8" s="10">
        <f t="shared" si="0"/>
        <v>0</v>
      </c>
      <c r="E8" s="2">
        <f>COUNTIF(Ride_Entries!B:B, Table2[[#This Row],[Date]])</f>
        <v>0</v>
      </c>
      <c r="F8">
        <f>SUMIF(Ride_Entries!B:B, Table2[[#This Row],[Date]], Ride_Entries!F:F)</f>
        <v>0</v>
      </c>
      <c r="G8">
        <f>SUMIF(Ride_Entries!B:B, Table2[[#This Row],[Date]], Ride_Entries!G:G)</f>
        <v>0</v>
      </c>
      <c r="H8">
        <f>SUMIF(Ride_Entries!B:B, Table2[[#This Row],[Date]], Ride_Entries!H:H)</f>
        <v>0</v>
      </c>
      <c r="I8" s="8">
        <f>Table2[[#This Row],[Order Amount]]-Table2[[#This Row],[Tax Deducted]]</f>
        <v>0</v>
      </c>
      <c r="J8">
        <f>SUMIFS(Ride_Entries!I:I, Ride_Entries!B:B, Table2[[#This Row],[Date]], Ride_Entries!J:J, "Online")</f>
        <v>0</v>
      </c>
      <c r="K8">
        <f>SUMIFS(Ride_Entries!I:I, Ride_Entries!B:B, Table2[[#This Row],[Date]], Ride_Entries!J:J, "Cash")</f>
        <v>0</v>
      </c>
      <c r="N8" s="6">
        <f t="shared" si="1"/>
        <v>0</v>
      </c>
      <c r="P8" s="7">
        <f>((Table2[[#This Row],[Earning]]+Table2[[#This Row],[Cancellation Fees]]+Table2[[#This Row],[Incentive]])-(Table2[[#This Row],[Fuel Cost]]+Table2[[#This Row],[Recharge]]))</f>
        <v>0</v>
      </c>
      <c r="Q8" s="28">
        <v>544</v>
      </c>
    </row>
    <row r="9" spans="1:17" x14ac:dyDescent="0.25">
      <c r="A9" s="4">
        <v>46156</v>
      </c>
      <c r="B9" s="9">
        <v>0.36458333333333331</v>
      </c>
      <c r="C9" s="9">
        <v>0.65625</v>
      </c>
      <c r="D9" s="10">
        <f t="shared" si="0"/>
        <v>0.29166666666666669</v>
      </c>
      <c r="E9" s="2">
        <f>COUNTIF(Ride_Entries!B:B, Table2[[#This Row],[Date]])</f>
        <v>14</v>
      </c>
      <c r="F9">
        <f>SUMIF(Ride_Entries!B:B, Table2[[#This Row],[Date]], Ride_Entries!F:F)</f>
        <v>111.72</v>
      </c>
      <c r="G9">
        <f>SUMIF(Ride_Entries!B:B, Table2[[#This Row],[Date]], Ride_Entries!G:G)</f>
        <v>1043</v>
      </c>
      <c r="H9">
        <f>SUMIF(Ride_Entries!B:B, Table2[[#This Row],[Date]], Ride_Entries!H:H)</f>
        <v>75.11</v>
      </c>
      <c r="I9" s="8">
        <f>Table2[[#This Row],[Order Amount]]-Table2[[#This Row],[Tax Deducted]]</f>
        <v>967.89</v>
      </c>
      <c r="J9">
        <f>SUMIFS(Ride_Entries!I:I, Ride_Entries!B:B, Table2[[#This Row],[Date]], Ride_Entries!J:J, "Online")</f>
        <v>659.34999999999991</v>
      </c>
      <c r="K9">
        <f>SUMIFS(Ride_Entries!I:I, Ride_Entries!B:B, Table2[[#This Row],[Date]], Ride_Entries!J:J, "Cash")</f>
        <v>308.54000000000002</v>
      </c>
      <c r="L9">
        <v>6</v>
      </c>
      <c r="M9">
        <v>100</v>
      </c>
      <c r="N9" s="6">
        <f t="shared" si="1"/>
        <v>214.84615384615387</v>
      </c>
      <c r="P9" s="7">
        <f>((Table2[[#This Row],[Earning]]+Table2[[#This Row],[Cancellation Fees]]+Table2[[#This Row],[Incentive]])-(Table2[[#This Row],[Fuel Cost]]+Table2[[#This Row],[Recharge]]))</f>
        <v>859.04384615384606</v>
      </c>
      <c r="Q9" s="28">
        <v>760</v>
      </c>
    </row>
    <row r="10" spans="1:17" x14ac:dyDescent="0.25">
      <c r="A10" s="4">
        <v>46159</v>
      </c>
      <c r="B10" s="9">
        <v>0.65972222222222221</v>
      </c>
      <c r="C10" s="9">
        <v>0.91666666666666663</v>
      </c>
      <c r="D10" s="10">
        <f t="shared" si="0"/>
        <v>0.25694444444444442</v>
      </c>
      <c r="E10" s="2">
        <f>COUNTIF(Ride_Entries!B:B, Table2[[#This Row],[Date]])</f>
        <v>18</v>
      </c>
      <c r="F10">
        <f>SUMIF(Ride_Entries!B:B, Table2[[#This Row],[Date]], Ride_Entries!F:F)</f>
        <v>93.12</v>
      </c>
      <c r="G10">
        <f>SUMIF(Ride_Entries!B:B, Table2[[#This Row],[Date]], Ride_Entries!G:G)</f>
        <v>858</v>
      </c>
      <c r="H10">
        <f>SUMIF(Ride_Entries!B:B, Table2[[#This Row],[Date]], Ride_Entries!H:H)</f>
        <v>81.359999999999985</v>
      </c>
      <c r="I10" s="8">
        <f>Table2[[#This Row],[Order Amount]]-Table2[[#This Row],[Tax Deducted]]</f>
        <v>776.64</v>
      </c>
      <c r="J10">
        <f>SUMIFS(Ride_Entries!I:I, Ride_Entries!B:B, Table2[[#This Row],[Date]], Ride_Entries!J:J, "Online")</f>
        <v>449.87</v>
      </c>
      <c r="K10">
        <f>SUMIFS(Ride_Entries!I:I, Ride_Entries!B:B, Table2[[#This Row],[Date]], Ride_Entries!J:J, "Cash")</f>
        <v>326.77</v>
      </c>
      <c r="M10">
        <v>100</v>
      </c>
      <c r="N10" s="6">
        <f t="shared" si="1"/>
        <v>179.07692307692309</v>
      </c>
      <c r="O10">
        <v>219</v>
      </c>
      <c r="P10" s="7">
        <f>((Table2[[#This Row],[Earning]]+Table2[[#This Row],[Cancellation Fees]]+Table2[[#This Row],[Incentive]])-(Table2[[#This Row],[Fuel Cost]]+Table2[[#This Row],[Recharge]]))</f>
        <v>478.56307692307689</v>
      </c>
      <c r="Q10" s="28"/>
    </row>
    <row r="11" spans="1:17" x14ac:dyDescent="0.25">
      <c r="A11" s="4">
        <v>46160</v>
      </c>
      <c r="B11" s="9">
        <v>0.67708333333333337</v>
      </c>
      <c r="C11" s="9">
        <v>0.94791666666666663</v>
      </c>
      <c r="D11" s="10">
        <f t="shared" si="0"/>
        <v>0.27083333333333326</v>
      </c>
      <c r="E11" s="2">
        <f>COUNTIF(Ride_Entries!B:B, Table2[[#This Row],[Date]])</f>
        <v>14</v>
      </c>
      <c r="F11">
        <f>SUMIF(Ride_Entries!B:B, Table2[[#This Row],[Date]], Ride_Entries!F:F)</f>
        <v>92.57</v>
      </c>
      <c r="G11">
        <f>SUMIF(Ride_Entries!B:B, Table2[[#This Row],[Date]], Ride_Entries!G:G)</f>
        <v>785</v>
      </c>
      <c r="H11">
        <f>SUMIF(Ride_Entries!B:B, Table2[[#This Row],[Date]], Ride_Entries!H:H)</f>
        <v>68.77000000000001</v>
      </c>
      <c r="I11" s="8">
        <f>Table2[[#This Row],[Order Amount]]-Table2[[#This Row],[Tax Deducted]]</f>
        <v>716.23</v>
      </c>
      <c r="J11">
        <f>SUMIFS(Ride_Entries!I:I, Ride_Entries!B:B, Table2[[#This Row],[Date]], Ride_Entries!J:J, "Online")</f>
        <v>540.97</v>
      </c>
      <c r="K11">
        <f>SUMIFS(Ride_Entries!I:I, Ride_Entries!B:B, Table2[[#This Row],[Date]], Ride_Entries!J:J, "Cash")</f>
        <v>175.26</v>
      </c>
      <c r="N11" s="6">
        <f t="shared" si="1"/>
        <v>178.01923076923077</v>
      </c>
      <c r="P11" s="7">
        <f>((Table2[[#This Row],[Earning]]+Table2[[#This Row],[Cancellation Fees]]+Table2[[#This Row],[Incentive]])-(Table2[[#This Row],[Fuel Cost]]+Table2[[#This Row],[Recharge]]))</f>
        <v>538.2107692307693</v>
      </c>
      <c r="Q11" s="28">
        <v>514.69000000000005</v>
      </c>
    </row>
    <row r="12" spans="1:17" x14ac:dyDescent="0.25">
      <c r="A12" s="4">
        <v>46161</v>
      </c>
      <c r="D12" s="10">
        <f t="shared" si="0"/>
        <v>0</v>
      </c>
      <c r="E12" s="2">
        <f>COUNTIF(Ride_Entries!B:B, Table2[[#This Row],[Date]])</f>
        <v>0</v>
      </c>
      <c r="F12">
        <f>SUMIF(Ride_Entries!B:B, Table2[[#This Row],[Date]], Ride_Entries!F:F)</f>
        <v>0</v>
      </c>
      <c r="G12">
        <f>SUMIF(Ride_Entries!B:B, Table2[[#This Row],[Date]], Ride_Entries!G:G)</f>
        <v>0</v>
      </c>
      <c r="H12">
        <f>SUMIF(Ride_Entries!B:B, Table2[[#This Row],[Date]], Ride_Entries!H:H)</f>
        <v>0</v>
      </c>
      <c r="I12" s="8">
        <f>Table2[[#This Row],[Order Amount]]-Table2[[#This Row],[Tax Deducted]]</f>
        <v>0</v>
      </c>
      <c r="J12">
        <f>SUMIFS(Ride_Entries!I:I, Ride_Entries!B:B, Table2[[#This Row],[Date]], Ride_Entries!J:J, "Online")</f>
        <v>0</v>
      </c>
      <c r="K12">
        <f>SUMIFS(Ride_Entries!I:I, Ride_Entries!B:B, Table2[[#This Row],[Date]], Ride_Entries!J:J, "Cash")</f>
        <v>0</v>
      </c>
      <c r="N12" s="6">
        <f t="shared" si="1"/>
        <v>0</v>
      </c>
      <c r="P12" s="7">
        <f>((Table2[[#This Row],[Earning]]+Table2[[#This Row],[Cancellation Fees]]+Table2[[#This Row],[Incentive]])-(Table2[[#This Row],[Fuel Cost]]+Table2[[#This Row],[Recharge]]))</f>
        <v>0</v>
      </c>
      <c r="Q12" s="28">
        <v>510</v>
      </c>
    </row>
  </sheetData>
  <mergeCells count="1">
    <mergeCell ref="A1:Q2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3D76-D8C6-4189-AB52-F2418527662B}">
  <dimension ref="A11:O28"/>
  <sheetViews>
    <sheetView workbookViewId="0">
      <selection activeCell="D20" sqref="D20"/>
    </sheetView>
  </sheetViews>
  <sheetFormatPr defaultRowHeight="13.8" x14ac:dyDescent="0.25"/>
  <cols>
    <col min="1" max="1" width="12.5" customWidth="1"/>
    <col min="2" max="2" width="11.796875" customWidth="1"/>
    <col min="3" max="3" width="15" customWidth="1"/>
    <col min="4" max="4" width="17.09765625" customWidth="1"/>
    <col min="5" max="5" width="19.69921875" customWidth="1"/>
    <col min="6" max="6" width="19" customWidth="1"/>
    <col min="7" max="7" width="13.796875" customWidth="1"/>
    <col min="8" max="8" width="15.296875" customWidth="1"/>
    <col min="9" max="9" width="15" customWidth="1"/>
    <col min="10" max="10" width="15.296875" customWidth="1"/>
    <col min="11" max="11" width="17.3984375" customWidth="1"/>
    <col min="13" max="13" width="17.5" bestFit="1" customWidth="1"/>
    <col min="14" max="18" width="16.09765625" bestFit="1" customWidth="1"/>
    <col min="19" max="19" width="15.296875" customWidth="1"/>
    <col min="20" max="20" width="17.3984375" customWidth="1"/>
    <col min="21" max="23" width="15.69921875" bestFit="1" customWidth="1"/>
  </cols>
  <sheetData>
    <row r="11" spans="1:15" x14ac:dyDescent="0.25">
      <c r="A11" s="20" t="s">
        <v>44</v>
      </c>
      <c r="B11" t="s">
        <v>46</v>
      </c>
      <c r="C11" t="s">
        <v>47</v>
      </c>
      <c r="D11" t="s">
        <v>55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M11" s="41"/>
      <c r="N11" s="42"/>
      <c r="O11" s="43"/>
    </row>
    <row r="12" spans="1:15" x14ac:dyDescent="0.25">
      <c r="A12" s="21">
        <v>46149</v>
      </c>
      <c r="B12">
        <v>15</v>
      </c>
      <c r="C12">
        <v>68.67</v>
      </c>
      <c r="D12" s="22">
        <v>0.24444444444444444</v>
      </c>
      <c r="E12">
        <v>647</v>
      </c>
      <c r="F12">
        <v>64.53</v>
      </c>
      <c r="G12">
        <v>582.47</v>
      </c>
      <c r="I12" s="6">
        <v>132.05769230769232</v>
      </c>
      <c r="J12">
        <v>399</v>
      </c>
      <c r="K12" s="6">
        <v>51.41230769230765</v>
      </c>
      <c r="M12" s="44"/>
      <c r="N12" s="45"/>
      <c r="O12" s="46"/>
    </row>
    <row r="13" spans="1:15" x14ac:dyDescent="0.25">
      <c r="A13" s="21">
        <v>46150</v>
      </c>
      <c r="B13">
        <v>15</v>
      </c>
      <c r="C13">
        <v>81.029999999999987</v>
      </c>
      <c r="D13" s="22">
        <v>0.22916666666666666</v>
      </c>
      <c r="E13">
        <v>768</v>
      </c>
      <c r="F13">
        <v>68.19</v>
      </c>
      <c r="G13">
        <v>699.81</v>
      </c>
      <c r="I13" s="6">
        <v>155.82692307692304</v>
      </c>
      <c r="K13" s="6">
        <v>543.98307692307685</v>
      </c>
      <c r="M13" s="44"/>
      <c r="N13" s="45"/>
      <c r="O13" s="46"/>
    </row>
    <row r="14" spans="1:15" x14ac:dyDescent="0.25">
      <c r="A14" s="21">
        <v>46151</v>
      </c>
      <c r="B14">
        <v>9</v>
      </c>
      <c r="C14">
        <v>40.410000000000004</v>
      </c>
      <c r="D14" s="22">
        <v>0.1875</v>
      </c>
      <c r="E14">
        <v>386</v>
      </c>
      <c r="F14">
        <v>38.599999999999994</v>
      </c>
      <c r="G14">
        <v>347.4</v>
      </c>
      <c r="I14" s="6">
        <v>77.711538461538467</v>
      </c>
      <c r="K14" s="6">
        <v>275.68846153846152</v>
      </c>
      <c r="M14" s="44"/>
      <c r="N14" s="45"/>
      <c r="O14" s="46"/>
    </row>
    <row r="15" spans="1:15" x14ac:dyDescent="0.25">
      <c r="A15" s="21" t="s">
        <v>45</v>
      </c>
      <c r="B15">
        <v>39</v>
      </c>
      <c r="C15">
        <v>190.10999999999999</v>
      </c>
      <c r="D15" s="22">
        <v>0.66111111111111109</v>
      </c>
      <c r="E15">
        <v>1801</v>
      </c>
      <c r="F15">
        <v>171.32</v>
      </c>
      <c r="G15">
        <v>1629.6799999999998</v>
      </c>
      <c r="I15" s="6">
        <v>365.59615384615381</v>
      </c>
      <c r="J15">
        <v>399</v>
      </c>
      <c r="K15" s="6">
        <v>871.08384615384603</v>
      </c>
      <c r="M15" s="44"/>
      <c r="N15" s="45"/>
      <c r="O15" s="46"/>
    </row>
    <row r="16" spans="1:15" x14ac:dyDescent="0.25">
      <c r="M16" s="44"/>
      <c r="N16" s="45"/>
      <c r="O16" s="46"/>
    </row>
    <row r="17" spans="13:15" x14ac:dyDescent="0.25">
      <c r="M17" s="44"/>
      <c r="N17" s="45"/>
      <c r="O17" s="46"/>
    </row>
    <row r="18" spans="13:15" x14ac:dyDescent="0.25">
      <c r="M18" s="44"/>
      <c r="N18" s="45"/>
      <c r="O18" s="46"/>
    </row>
    <row r="19" spans="13:15" x14ac:dyDescent="0.25">
      <c r="M19" s="44"/>
      <c r="N19" s="45"/>
      <c r="O19" s="46"/>
    </row>
    <row r="20" spans="13:15" x14ac:dyDescent="0.25">
      <c r="M20" s="44"/>
      <c r="N20" s="45"/>
      <c r="O20" s="46"/>
    </row>
    <row r="21" spans="13:15" x14ac:dyDescent="0.25">
      <c r="M21" s="44"/>
      <c r="N21" s="45"/>
      <c r="O21" s="46"/>
    </row>
    <row r="22" spans="13:15" x14ac:dyDescent="0.25">
      <c r="M22" s="44"/>
      <c r="N22" s="45"/>
      <c r="O22" s="46"/>
    </row>
    <row r="23" spans="13:15" x14ac:dyDescent="0.25">
      <c r="M23" s="44"/>
      <c r="N23" s="45"/>
      <c r="O23" s="46"/>
    </row>
    <row r="24" spans="13:15" x14ac:dyDescent="0.25">
      <c r="M24" s="44"/>
      <c r="N24" s="45"/>
      <c r="O24" s="46"/>
    </row>
    <row r="25" spans="13:15" x14ac:dyDescent="0.25">
      <c r="M25" s="44"/>
      <c r="N25" s="45"/>
      <c r="O25" s="46"/>
    </row>
    <row r="26" spans="13:15" x14ac:dyDescent="0.25">
      <c r="M26" s="44"/>
      <c r="N26" s="45"/>
      <c r="O26" s="46"/>
    </row>
    <row r="27" spans="13:15" x14ac:dyDescent="0.25">
      <c r="M27" s="44"/>
      <c r="N27" s="45"/>
      <c r="O27" s="46"/>
    </row>
    <row r="28" spans="13:15" x14ac:dyDescent="0.25">
      <c r="M28" s="47"/>
      <c r="N28" s="48"/>
      <c r="O28" s="49"/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91C2E-FCA3-4BC7-9396-FD03DA78B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Ride_Entries</vt:lpstr>
      <vt:lpstr>Daily_Summary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 Manauwar</dc:creator>
  <cp:lastModifiedBy>Maroof Manauwar</cp:lastModifiedBy>
  <dcterms:created xsi:type="dcterms:W3CDTF">2015-06-05T18:17:20Z</dcterms:created>
  <dcterms:modified xsi:type="dcterms:W3CDTF">2026-06-01T07:42:38Z</dcterms:modified>
</cp:coreProperties>
</file>